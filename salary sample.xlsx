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860"/>
  </bookViews>
  <sheets>
    <sheet name="115.05" sheetId="1" r:id="rId1"/>
    <sheet name="115.05加班明細" sheetId="2" r:id="rId2"/>
    <sheet name="個人發送樣本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<sst xmlns="http://schemas.openxmlformats.org/spreadsheetml/2006/main" count="1000" uniqueCount="76">
  <si>
    <r>
      <rPr>
        <sz val="14"/>
        <rFont val="Times New Roman"/>
        <charset val="134"/>
      </rPr>
      <t>115</t>
    </r>
    <r>
      <rPr>
        <sz val="14"/>
        <rFont val="標楷體"/>
        <charset val="136"/>
      </rPr>
      <t>年</t>
    </r>
    <r>
      <rPr>
        <sz val="14"/>
        <rFont val="Times New Roman"/>
        <charset val="134"/>
      </rPr>
      <t>5</t>
    </r>
    <r>
      <rPr>
        <sz val="14"/>
        <rFont val="標楷體"/>
        <charset val="136"/>
      </rPr>
      <t>月薪資</t>
    </r>
  </si>
  <si>
    <t>許世殷</t>
  </si>
  <si>
    <t>姓    名</t>
  </si>
  <si>
    <t>葉宗祺</t>
  </si>
  <si>
    <t>邱麗萍</t>
  </si>
  <si>
    <t>本    薪</t>
  </si>
  <si>
    <t>請假(扣款)</t>
  </si>
  <si>
    <t>月薪小計</t>
  </si>
  <si>
    <t>伙食津貼</t>
  </si>
  <si>
    <t>加班津貼</t>
  </si>
  <si>
    <t>專業.外勤津貼</t>
  </si>
  <si>
    <t>日薪小計</t>
  </si>
  <si>
    <t>工作天數</t>
  </si>
  <si>
    <t>日薪總計</t>
  </si>
  <si>
    <t>勞退6%</t>
  </si>
  <si>
    <t>*健保費因負責人</t>
  </si>
  <si>
    <t>勞保職災金額降低</t>
  </si>
  <si>
    <t>保額退費</t>
  </si>
  <si>
    <t>薪資合計</t>
  </si>
  <si>
    <t>代扣 勞 保 費</t>
  </si>
  <si>
    <t>代扣 健 保 費</t>
  </si>
  <si>
    <t>扣款小計</t>
  </si>
  <si>
    <t>匯入金額(月薪)</t>
  </si>
  <si>
    <t>現金</t>
  </si>
  <si>
    <t>現金(日薪減扣款)</t>
  </si>
  <si>
    <t>勞退6%(入個戶)</t>
  </si>
  <si>
    <t>詹素真</t>
  </si>
  <si>
    <t>翁毓貞</t>
  </si>
  <si>
    <t>林淵昇</t>
  </si>
  <si>
    <t>特休未休</t>
  </si>
  <si>
    <t>113/8-115/5交通</t>
  </si>
  <si>
    <t>外勤差旅</t>
  </si>
  <si>
    <t>自提6%</t>
  </si>
  <si>
    <t>餐費</t>
  </si>
  <si>
    <t>魏光玉</t>
  </si>
  <si>
    <t>張云禎</t>
  </si>
  <si>
    <t>楊蕢榕</t>
  </si>
  <si>
    <t>請假(遲到)(扣款)</t>
  </si>
  <si>
    <t>工作獎金</t>
  </si>
  <si>
    <t>黃小珊</t>
  </si>
  <si>
    <t>劉守靜</t>
  </si>
  <si>
    <t>黃鉦中</t>
  </si>
  <si>
    <t>徐大海</t>
  </si>
  <si>
    <t>曾國軒</t>
  </si>
  <si>
    <t>林培霈</t>
  </si>
  <si>
    <t>李宜蓁</t>
  </si>
  <si>
    <t>黃千修</t>
  </si>
  <si>
    <t>陳薇捷</t>
  </si>
  <si>
    <t>宋依芩</t>
  </si>
  <si>
    <t>黃麗君</t>
  </si>
  <si>
    <t>吳思賢</t>
  </si>
  <si>
    <t>洪靖雅</t>
  </si>
  <si>
    <t>陳容姿</t>
  </si>
  <si>
    <t>洪偉哲</t>
  </si>
  <si>
    <t>王裕玄</t>
  </si>
  <si>
    <t>吳承軒</t>
  </si>
  <si>
    <t>宋其剛</t>
  </si>
  <si>
    <t>陳亭瑋</t>
  </si>
  <si>
    <t>劉峻瑋</t>
  </si>
  <si>
    <t>(滿1年調整)</t>
  </si>
  <si>
    <t>林志遠</t>
  </si>
  <si>
    <t>林政璋</t>
  </si>
  <si>
    <t>曾奕翰</t>
  </si>
  <si>
    <t xml:space="preserve">獎    金 </t>
  </si>
  <si>
    <t>楊禮賓</t>
  </si>
  <si>
    <t>朱秝甫</t>
  </si>
  <si>
    <t>魏元鴻</t>
  </si>
  <si>
    <t>陳偉華</t>
  </si>
  <si>
    <t>孫崇傑</t>
  </si>
  <si>
    <t>獎金合計</t>
  </si>
  <si>
    <t>日期</t>
  </si>
  <si>
    <t>金額</t>
  </si>
  <si>
    <t>小計</t>
  </si>
  <si>
    <t>未休假</t>
  </si>
  <si>
    <t>合計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</si>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</sst>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  <numFmt numFmtId="179" formatCode="m/d;@"/>
    <numFmt numFmtId="180" formatCode="m&quot;月&quot;d&quot;日&quot;"/>
  </numFmts>
  <fonts count="44">
    <font>
      <sz val="12"/>
      <name val="新細明體"/>
      <charset val="136"/>
    </font>
    <font>
      <sz val="14"/>
      <name val="Times New Roman"/>
      <charset val="134"/>
    </font>
    <font>
      <sz val="14"/>
      <name val="標楷體"/>
      <charset val="136"/>
    </font>
    <font>
      <b/>
      <sz val="14"/>
      <name val="標楷體"/>
      <charset val="136"/>
    </font>
    <font>
      <sz val="12"/>
      <name val="標楷體"/>
      <charset val="136"/>
    </font>
    <font>
      <sz val="12"/>
      <name val="Times New Roman"/>
      <charset val="134"/>
    </font>
    <font>
      <b/>
      <sz val="14"/>
      <name val="Times New Roman"/>
      <charset val="134"/>
    </font>
    <font>
      <b/>
      <sz val="12"/>
      <name val="Times New Roman"/>
      <charset val="134"/>
    </font>
    <font>
      <b/>
      <sz val="12"/>
      <name val="標楷體"/>
      <charset val="136"/>
    </font>
    <font>
      <b/>
      <sz val="14"/>
      <color theme="9" tint="-0.249977111117893"/>
      <name val="Times New Roman"/>
      <charset val="134"/>
    </font>
    <font>
      <sz val="12"/>
      <color rgb="FF0070C0"/>
      <name val="標楷體"/>
      <charset val="136"/>
    </font>
    <font>
      <sz val="12"/>
      <color rgb="FF0070C0"/>
      <name val="Times New Roman"/>
      <charset val="134"/>
    </font>
    <font>
      <b/>
      <sz val="14"/>
      <color rgb="FF0070C0"/>
      <name val="Times New Roman"/>
      <charset val="134"/>
    </font>
    <font>
      <sz val="12"/>
      <color rgb="FF00B0F0"/>
      <name val="標楷體"/>
      <charset val="136"/>
    </font>
    <font>
      <sz val="12"/>
      <color rgb="FF00B0F0"/>
      <name val="Times New Roman"/>
      <charset val="134"/>
    </font>
    <font>
      <b/>
      <sz val="14"/>
      <color rgb="FF00B0F0"/>
      <name val="Times New Roman"/>
      <charset val="134"/>
    </font>
    <font>
      <sz val="10"/>
      <name val="標楷體"/>
      <charset val="136"/>
    </font>
    <font>
      <sz val="10"/>
      <name val="Times New Roman"/>
      <charset val="134"/>
    </font>
    <font>
      <sz val="10"/>
      <name val="細明體"/>
      <charset val="136"/>
    </font>
    <font>
      <sz val="14"/>
      <color rgb="FF0070C0"/>
      <name val="標楷體"/>
      <charset val="136"/>
    </font>
    <font>
      <sz val="14"/>
      <color rgb="FF00B0F0"/>
      <name val="標楷體"/>
      <charset val="136"/>
    </font>
    <font>
      <sz val="14"/>
      <color rgb="FFFF0000"/>
      <name val="Times New Roman"/>
      <charset val="134"/>
    </font>
    <font>
      <sz val="14"/>
      <color rgb="FF0070C0"/>
      <name val="Times New Roman"/>
      <charset val="134"/>
    </font>
    <font>
      <sz val="14"/>
      <color rgb="FF00B0F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0" borderId="3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42" applyNumberFormat="0" applyAlignment="0" applyProtection="0">
      <alignment vertical="center"/>
    </xf>
    <xf numFmtId="0" fontId="34" fillId="12" borderId="43" applyNumberFormat="0" applyAlignment="0" applyProtection="0">
      <alignment vertical="center"/>
    </xf>
    <xf numFmtId="0" fontId="35" fillId="12" borderId="42" applyNumberFormat="0" applyAlignment="0" applyProtection="0">
      <alignment vertical="center"/>
    </xf>
    <xf numFmtId="0" fontId="36" fillId="13" borderId="44" applyNumberFormat="0" applyAlignment="0" applyProtection="0">
      <alignment vertical="center"/>
    </xf>
    <xf numFmtId="0" fontId="37" fillId="0" borderId="45" applyNumberFormat="0" applyFill="0" applyAlignment="0" applyProtection="0">
      <alignment vertical="center"/>
    </xf>
    <xf numFmtId="0" fontId="38" fillId="0" borderId="46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horizontal="distributed" vertical="distributed" shrinkToFit="1"/>
    </xf>
    <xf numFmtId="0" fontId="4" fillId="0" borderId="1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center" vertical="center" shrinkToFit="1"/>
    </xf>
    <xf numFmtId="178" fontId="1" fillId="0" borderId="3" xfId="1" applyNumberFormat="1" applyFont="1" applyBorder="1" applyAlignment="1">
      <alignment vertical="center" shrinkToFit="1"/>
    </xf>
    <xf numFmtId="0" fontId="4" fillId="0" borderId="4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center" vertical="center" shrinkToFit="1"/>
    </xf>
    <xf numFmtId="178" fontId="1" fillId="0" borderId="6" xfId="1" applyNumberFormat="1" applyFont="1" applyBorder="1" applyAlignment="1">
      <alignment vertical="center" shrinkToFit="1"/>
    </xf>
    <xf numFmtId="0" fontId="4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center" vertical="center" shrinkToFit="1"/>
    </xf>
    <xf numFmtId="178" fontId="1" fillId="0" borderId="9" xfId="1" applyNumberFormat="1" applyFont="1" applyBorder="1" applyAlignment="1">
      <alignment vertical="center" shrinkToFit="1"/>
    </xf>
    <xf numFmtId="0" fontId="4" fillId="2" borderId="10" xfId="0" applyFont="1" applyFill="1" applyBorder="1" applyAlignment="1">
      <alignment horizontal="left" vertical="center" shrinkToFit="1"/>
    </xf>
    <xf numFmtId="0" fontId="5" fillId="2" borderId="11" xfId="0" applyFont="1" applyFill="1" applyBorder="1" applyAlignment="1">
      <alignment horizontal="center" vertical="center" shrinkToFit="1"/>
    </xf>
    <xf numFmtId="178" fontId="6" fillId="2" borderId="12" xfId="1" applyNumberFormat="1" applyFont="1" applyFill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5" fillId="0" borderId="0" xfId="0" applyFont="1" applyBorder="1" applyAlignment="1">
      <alignment horizontal="center" vertical="center" shrinkToFit="1"/>
    </xf>
    <xf numFmtId="178" fontId="1" fillId="0" borderId="14" xfId="1" applyNumberFormat="1" applyFont="1" applyBorder="1" applyAlignment="1">
      <alignment vertical="center" shrinkToFit="1"/>
    </xf>
    <xf numFmtId="0" fontId="7" fillId="0" borderId="5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left" vertical="center" shrinkToFit="1"/>
    </xf>
    <xf numFmtId="0" fontId="5" fillId="0" borderId="16" xfId="0" applyFont="1" applyBorder="1" applyAlignment="1">
      <alignment horizontal="center" vertical="center" shrinkToFit="1"/>
    </xf>
    <xf numFmtId="178" fontId="1" fillId="0" borderId="17" xfId="1" applyNumberFormat="1" applyFont="1" applyBorder="1" applyAlignment="1">
      <alignment vertical="center" shrinkToFit="1"/>
    </xf>
    <xf numFmtId="0" fontId="8" fillId="0" borderId="1" xfId="0" applyFont="1" applyBorder="1" applyAlignment="1">
      <alignment horizontal="right" vertical="center" shrinkToFit="1"/>
    </xf>
    <xf numFmtId="0" fontId="7" fillId="0" borderId="2" xfId="0" applyFont="1" applyBorder="1" applyAlignment="1">
      <alignment horizontal="center" vertical="center" shrinkToFit="1"/>
    </xf>
    <xf numFmtId="178" fontId="6" fillId="0" borderId="3" xfId="1" applyNumberFormat="1" applyFont="1" applyBorder="1" applyAlignment="1">
      <alignment vertical="center" shrinkToFit="1"/>
    </xf>
    <xf numFmtId="178" fontId="1" fillId="0" borderId="6" xfId="1" applyNumberFormat="1" applyFont="1" applyBorder="1" applyAlignment="1">
      <alignment horizontal="left" vertical="center" shrinkToFit="1"/>
    </xf>
    <xf numFmtId="0" fontId="8" fillId="0" borderId="7" xfId="0" applyFont="1" applyBorder="1" applyAlignment="1">
      <alignment horizontal="right" vertical="center" shrinkToFit="1"/>
    </xf>
    <xf numFmtId="178" fontId="6" fillId="0" borderId="9" xfId="1" applyNumberFormat="1" applyFont="1" applyBorder="1" applyAlignment="1">
      <alignment vertical="center" shrinkToFit="1"/>
    </xf>
    <xf numFmtId="0" fontId="4" fillId="0" borderId="18" xfId="0" applyFont="1" applyBorder="1" applyAlignment="1">
      <alignment horizontal="left" vertical="center" shrinkToFit="1"/>
    </xf>
    <xf numFmtId="0" fontId="5" fillId="0" borderId="19" xfId="0" applyFont="1" applyBorder="1" applyAlignment="1">
      <alignment horizontal="center" vertical="center" shrinkToFit="1"/>
    </xf>
    <xf numFmtId="178" fontId="6" fillId="0" borderId="20" xfId="1" applyNumberFormat="1" applyFont="1" applyBorder="1" applyAlignment="1">
      <alignment vertical="center" shrinkToFit="1"/>
    </xf>
    <xf numFmtId="0" fontId="5" fillId="0" borderId="21" xfId="0" applyFont="1" applyBorder="1" applyAlignment="1">
      <alignment horizontal="center" vertical="center" shrinkToFit="1"/>
    </xf>
    <xf numFmtId="0" fontId="8" fillId="2" borderId="22" xfId="0" applyFont="1" applyFill="1" applyBorder="1" applyAlignment="1">
      <alignment horizontal="right" vertical="center" shrinkToFit="1"/>
    </xf>
    <xf numFmtId="0" fontId="5" fillId="2" borderId="23" xfId="0" applyFont="1" applyFill="1" applyBorder="1" applyAlignment="1">
      <alignment horizontal="center" vertical="center" shrinkToFit="1"/>
    </xf>
    <xf numFmtId="178" fontId="6" fillId="2" borderId="24" xfId="1" applyNumberFormat="1" applyFont="1" applyFill="1" applyBorder="1" applyAlignment="1">
      <alignment vertical="center" shrinkToFit="1"/>
    </xf>
    <xf numFmtId="178" fontId="1" fillId="0" borderId="20" xfId="1" applyNumberFormat="1" applyFont="1" applyBorder="1" applyAlignment="1">
      <alignment vertical="center" shrinkToFit="1"/>
    </xf>
    <xf numFmtId="0" fontId="8" fillId="0" borderId="25" xfId="0" applyFont="1" applyBorder="1" applyAlignment="1">
      <alignment horizontal="right" vertical="center" shrinkToFit="1"/>
    </xf>
    <xf numFmtId="0" fontId="5" fillId="0" borderId="26" xfId="0" applyFont="1" applyBorder="1" applyAlignment="1">
      <alignment horizontal="center" vertical="center" shrinkToFit="1"/>
    </xf>
    <xf numFmtId="178" fontId="9" fillId="0" borderId="27" xfId="1" applyNumberFormat="1" applyFont="1" applyBorder="1" applyAlignment="1">
      <alignment vertical="center" shrinkToFit="1"/>
    </xf>
    <xf numFmtId="0" fontId="10" fillId="0" borderId="28" xfId="0" applyFont="1" applyBorder="1" applyAlignment="1">
      <alignment horizontal="left" vertical="center" shrinkToFit="1"/>
    </xf>
    <xf numFmtId="0" fontId="11" fillId="0" borderId="29" xfId="0" applyFont="1" applyBorder="1" applyAlignment="1">
      <alignment horizontal="left" vertical="center" shrinkToFit="1"/>
    </xf>
    <xf numFmtId="178" fontId="12" fillId="0" borderId="30" xfId="1" applyNumberFormat="1" applyFont="1" applyFill="1" applyBorder="1" applyAlignment="1">
      <alignment vertical="center" shrinkToFit="1"/>
    </xf>
    <xf numFmtId="0" fontId="13" fillId="0" borderId="4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left" vertical="center" shrinkToFit="1"/>
    </xf>
    <xf numFmtId="178" fontId="15" fillId="0" borderId="6" xfId="1" applyNumberFormat="1" applyFont="1" applyFill="1" applyBorder="1" applyAlignment="1">
      <alignment vertical="center" shrinkToFit="1"/>
    </xf>
    <xf numFmtId="0" fontId="4" fillId="2" borderId="31" xfId="0" applyFont="1" applyFill="1" applyBorder="1" applyAlignment="1">
      <alignment vertical="center" shrinkToFit="1"/>
    </xf>
    <xf numFmtId="0" fontId="5" fillId="2" borderId="32" xfId="0" applyFont="1" applyFill="1" applyBorder="1" applyAlignment="1">
      <alignment horizontal="center" vertical="center" shrinkToFit="1"/>
    </xf>
    <xf numFmtId="178" fontId="6" fillId="2" borderId="33" xfId="1" applyNumberFormat="1" applyFont="1" applyFill="1" applyBorder="1" applyAlignment="1">
      <alignment vertical="center" shrinkToFit="1"/>
    </xf>
    <xf numFmtId="0" fontId="16" fillId="0" borderId="34" xfId="0" applyFont="1" applyBorder="1" applyAlignment="1">
      <alignment horizontal="center" vertical="center" shrinkToFit="1"/>
    </xf>
    <xf numFmtId="179" fontId="5" fillId="3" borderId="34" xfId="0" applyNumberFormat="1" applyFont="1" applyFill="1" applyBorder="1" applyAlignment="1">
      <alignment horizontal="center" vertical="center" shrinkToFit="1"/>
    </xf>
    <xf numFmtId="178" fontId="17" fillId="4" borderId="35" xfId="1" applyNumberFormat="1" applyFont="1" applyFill="1" applyBorder="1" applyAlignment="1">
      <alignment horizontal="center" vertical="center" shrinkToFit="1"/>
    </xf>
    <xf numFmtId="178" fontId="17" fillId="3" borderId="35" xfId="1" applyNumberFormat="1" applyFont="1" applyFill="1" applyBorder="1" applyAlignment="1">
      <alignment horizontal="center" vertical="center" shrinkToFit="1"/>
    </xf>
    <xf numFmtId="179" fontId="5" fillId="4" borderId="34" xfId="0" applyNumberFormat="1" applyFont="1" applyFill="1" applyBorder="1" applyAlignment="1">
      <alignment horizontal="center" vertical="center" shrinkToFit="1"/>
    </xf>
    <xf numFmtId="178" fontId="17" fillId="5" borderId="35" xfId="1" applyNumberFormat="1" applyFont="1" applyFill="1" applyBorder="1" applyAlignment="1">
      <alignment horizontal="center" vertical="center" shrinkToFit="1"/>
    </xf>
    <xf numFmtId="0" fontId="16" fillId="0" borderId="36" xfId="0" applyFont="1" applyBorder="1" applyAlignment="1">
      <alignment horizontal="center" vertical="center" shrinkToFit="1"/>
    </xf>
    <xf numFmtId="178" fontId="17" fillId="0" borderId="36" xfId="1" applyNumberFormat="1" applyFont="1" applyBorder="1" applyAlignment="1">
      <alignment horizontal="right" vertical="center" shrinkToFit="1"/>
    </xf>
    <xf numFmtId="179" fontId="16" fillId="0" borderId="37" xfId="0" applyNumberFormat="1" applyFont="1" applyBorder="1" applyAlignment="1">
      <alignment horizontal="center" vertical="center" shrinkToFit="1"/>
    </xf>
    <xf numFmtId="178" fontId="17" fillId="0" borderId="37" xfId="1" applyNumberFormat="1" applyFont="1" applyBorder="1" applyAlignment="1">
      <alignment horizontal="right" vertical="center" shrinkToFit="1"/>
    </xf>
    <xf numFmtId="179" fontId="16" fillId="0" borderId="38" xfId="0" applyNumberFormat="1" applyFont="1" applyBorder="1" applyAlignment="1">
      <alignment horizontal="center" vertical="center" shrinkToFit="1"/>
    </xf>
    <xf numFmtId="178" fontId="17" fillId="0" borderId="34" xfId="1" applyNumberFormat="1" applyFont="1" applyFill="1" applyBorder="1" applyAlignment="1">
      <alignment horizontal="right" vertical="center" shrinkToFit="1"/>
    </xf>
    <xf numFmtId="0" fontId="16" fillId="0" borderId="37" xfId="0" applyFont="1" applyBorder="1" applyAlignment="1">
      <alignment horizontal="center" vertical="center" shrinkToFit="1"/>
    </xf>
    <xf numFmtId="0" fontId="4" fillId="0" borderId="0" xfId="0" applyFont="1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Fill="1" applyAlignment="1">
      <alignment vertical="center" shrinkToFit="1"/>
    </xf>
    <xf numFmtId="0" fontId="4" fillId="0" borderId="0" xfId="0" applyFont="1" applyAlignment="1">
      <alignment vertical="center" shrinkToFit="1"/>
    </xf>
    <xf numFmtId="0" fontId="16" fillId="0" borderId="0" xfId="0" applyFont="1" applyAlignment="1">
      <alignment vertical="center" shrinkToFit="1"/>
    </xf>
    <xf numFmtId="0" fontId="16" fillId="0" borderId="0" xfId="0" applyFont="1" applyBorder="1" applyAlignment="1">
      <alignment horizontal="center" vertical="center" shrinkToFit="1"/>
    </xf>
    <xf numFmtId="0" fontId="16" fillId="0" borderId="21" xfId="0" applyFont="1" applyBorder="1" applyAlignment="1">
      <alignment horizontal="center" vertical="center" shrinkToFit="1"/>
    </xf>
    <xf numFmtId="0" fontId="16" fillId="0" borderId="35" xfId="0" applyFont="1" applyBorder="1" applyAlignment="1">
      <alignment horizontal="center" vertical="center" shrinkToFit="1"/>
    </xf>
    <xf numFmtId="178" fontId="17" fillId="6" borderId="34" xfId="1" applyNumberFormat="1" applyFont="1" applyFill="1" applyBorder="1" applyAlignment="1">
      <alignment horizontal="center" vertical="center" shrinkToFit="1"/>
    </xf>
    <xf numFmtId="178" fontId="17" fillId="4" borderId="34" xfId="1" applyNumberFormat="1" applyFont="1" applyFill="1" applyBorder="1" applyAlignment="1">
      <alignment horizontal="center" vertical="center" shrinkToFit="1"/>
    </xf>
    <xf numFmtId="178" fontId="1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17" fillId="0" borderId="0" xfId="1" applyNumberFormat="1" applyFont="1" applyBorder="1" applyAlignment="1">
      <alignment horizontal="right" vertical="center" shrinkToFit="1"/>
    </xf>
    <xf numFmtId="0" fontId="16" fillId="0" borderId="21" xfId="0" applyFont="1" applyBorder="1" applyAlignment="1">
      <alignment horizontal="center" vertical="center"/>
    </xf>
    <xf numFmtId="178" fontId="17" fillId="7" borderId="34" xfId="1" applyNumberFormat="1" applyFont="1" applyFill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/>
    </xf>
    <xf numFmtId="178" fontId="5" fillId="0" borderId="0" xfId="1" applyNumberFormat="1" applyFont="1" applyBorder="1" applyAlignment="1">
      <alignment vertical="center" shrinkToFit="1"/>
    </xf>
    <xf numFmtId="178" fontId="4" fillId="0" borderId="0" xfId="0" applyNumberFormat="1" applyFont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 shrinkToFit="1"/>
    </xf>
    <xf numFmtId="178" fontId="17" fillId="8" borderId="34" xfId="1" applyNumberFormat="1" applyFont="1" applyFill="1" applyBorder="1" applyAlignment="1">
      <alignment horizontal="center" vertical="center" shrinkToFit="1"/>
    </xf>
    <xf numFmtId="178" fontId="5" fillId="0" borderId="0" xfId="1" applyNumberFormat="1" applyFont="1" applyAlignment="1">
      <alignment vertical="center" shrinkToFit="1"/>
    </xf>
    <xf numFmtId="179" fontId="16" fillId="0" borderId="0" xfId="0" applyNumberFormat="1" applyFont="1" applyFill="1" applyBorder="1" applyAlignment="1">
      <alignment horizontal="center" vertical="center" shrinkToFit="1"/>
    </xf>
    <xf numFmtId="178" fontId="17" fillId="0" borderId="0" xfId="1" applyNumberFormat="1" applyFont="1" applyFill="1" applyBorder="1" applyAlignment="1">
      <alignment horizontal="right" vertical="center" shrinkToFit="1"/>
    </xf>
    <xf numFmtId="0" fontId="16" fillId="0" borderId="0" xfId="0" applyFont="1" applyFill="1" applyBorder="1" applyAlignment="1">
      <alignment horizontal="center" vertical="center" shrinkToFit="1"/>
    </xf>
    <xf numFmtId="178" fontId="5" fillId="0" borderId="0" xfId="1" applyNumberFormat="1" applyFont="1" applyFill="1" applyBorder="1" applyAlignment="1">
      <alignment horizontal="right" vertical="center" shrinkToFit="1"/>
    </xf>
    <xf numFmtId="178" fontId="18" fillId="0" borderId="0" xfId="1" applyNumberFormat="1" applyFont="1" applyBorder="1" applyAlignment="1">
      <alignment horizontal="right" vertical="center" shrinkToFit="1"/>
    </xf>
    <xf numFmtId="178" fontId="4" fillId="0" borderId="0" xfId="0" applyNumberFormat="1" applyFont="1" applyBorder="1" applyAlignment="1">
      <alignment vertical="center" shrinkToFit="1"/>
    </xf>
    <xf numFmtId="178" fontId="17" fillId="9" borderId="34" xfId="1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Border="1" applyAlignment="1">
      <alignment vertical="center" shrinkToFi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shrinkToFit="1"/>
    </xf>
    <xf numFmtId="178" fontId="1" fillId="0" borderId="0" xfId="1" applyNumberFormat="1" applyFont="1" applyBorder="1" applyAlignment="1">
      <alignment vertical="center" shrinkToFit="1"/>
    </xf>
    <xf numFmtId="0" fontId="4" fillId="0" borderId="4" xfId="0" applyFont="1" applyBorder="1" applyAlignment="1">
      <alignment horizontal="left" vertical="center"/>
    </xf>
    <xf numFmtId="180" fontId="5" fillId="0" borderId="16" xfId="0" applyNumberFormat="1" applyFont="1" applyBorder="1" applyAlignment="1">
      <alignment horizontal="center" vertical="center" shrinkToFit="1"/>
    </xf>
    <xf numFmtId="178" fontId="21" fillId="0" borderId="17" xfId="1" applyNumberFormat="1" applyFont="1" applyBorder="1" applyAlignment="1">
      <alignment vertical="center" shrinkToFit="1"/>
    </xf>
    <xf numFmtId="178" fontId="22" fillId="0" borderId="0" xfId="1" applyNumberFormat="1" applyFont="1" applyBorder="1" applyAlignment="1">
      <alignment vertical="center" shrinkToFit="1"/>
    </xf>
    <xf numFmtId="178" fontId="23" fillId="0" borderId="0" xfId="1" applyNumberFormat="1" applyFont="1" applyBorder="1" applyAlignment="1">
      <alignment vertical="center" shrinkToFit="1"/>
    </xf>
    <xf numFmtId="0" fontId="4" fillId="0" borderId="15" xfId="0" applyFont="1" applyBorder="1" applyAlignment="1">
      <alignment vertical="center" shrinkToFit="1"/>
    </xf>
    <xf numFmtId="0" fontId="4" fillId="2" borderId="0" xfId="0" applyFont="1" applyFill="1" applyBorder="1" applyAlignment="1">
      <alignment vertical="center" shrinkToFit="1"/>
    </xf>
    <xf numFmtId="0" fontId="5" fillId="2" borderId="0" xfId="0" applyFont="1" applyFill="1" applyBorder="1" applyAlignment="1">
      <alignment horizontal="center" vertical="center" shrinkToFit="1"/>
    </xf>
    <xf numFmtId="178" fontId="6" fillId="2" borderId="0" xfId="1" applyNumberFormat="1" applyFont="1" applyFill="1" applyBorder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178" fontId="1" fillId="0" borderId="0" xfId="0" applyNumberFormat="1" applyFont="1">
      <alignment vertical="center"/>
    </xf>
    <xf numFmtId="0" fontId="4" fillId="0" borderId="4" xfId="0" applyFont="1" applyBorder="1" applyAlignment="1">
      <alignment vertical="center" shrinkToFit="1"/>
    </xf>
    <xf numFmtId="0" fontId="8" fillId="0" borderId="4" xfId="0" applyFont="1" applyBorder="1" applyAlignment="1">
      <alignment horizontal="left" vertical="center" shrinkToFit="1"/>
    </xf>
    <xf numFmtId="0" fontId="4" fillId="0" borderId="1" xfId="0" applyFont="1" applyBorder="1" applyAlignment="1">
      <alignment vertical="center" shrinkToFit="1"/>
    </xf>
    <xf numFmtId="178" fontId="6" fillId="0" borderId="0" xfId="1" applyNumberFormat="1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41</xdr:col>
      <xdr:colOff>47625</xdr:colOff>
      <xdr:row>56</xdr:row>
      <xdr:rowOff>107156</xdr:rowOff>
    </xdr:from>
    <xdr:to>
      <xdr:col>41</xdr:col>
      <xdr:colOff>357188</xdr:colOff>
      <xdr:row>77</xdr:row>
      <xdr:rowOff>9525</xdr:rowOff>
    </xdr:to>
    <xdr:cxnSp>
      <xdr:nvCxnSpPr>
        <xdr:cNvPr id="2" name="直線接點 4"/>
        <xdr:cNvCxnSpPr/>
      </xdr:nvCxnSpPr>
      <xdr:spPr>
        <a:xfrm flipH="1">
          <a:off x="15542895" y="11384280"/>
          <a:ext cx="309245" cy="41033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83"/>
  <sheetViews>
    <sheetView tabSelected="1" zoomScale="90" zoomScaleNormal="90" topLeftCell="A100" workbookViewId="0">
      <selection activeCell="R110" sqref="R110"/>
    </sheetView>
  </sheetViews>
  <sheetFormatPr defaultColWidth="9" defaultRowHeight="17.1" customHeight="1"/>
  <cols>
    <col min="1" max="1" width="4.625" style="94" customWidth="1"/>
    <col min="2" max="2" width="15.375" style="94" customWidth="1"/>
    <col min="3" max="3" width="4.625" style="94" customWidth="1"/>
    <col min="4" max="4" width="13.625" style="94" customWidth="1"/>
    <col min="5" max="5" width="4.625" style="94" customWidth="1"/>
    <col min="6" max="6" width="15.375" style="94" customWidth="1"/>
    <col min="7" max="7" width="4.625" style="94" customWidth="1"/>
    <col min="8" max="8" width="13.625" style="94" customWidth="1"/>
    <col min="9" max="9" width="4.625" style="94" customWidth="1"/>
    <col min="10" max="10" width="15.375" style="94" customWidth="1"/>
    <col min="11" max="11" width="4.625" style="94" customWidth="1"/>
    <col min="12" max="12" width="13.625" style="94" customWidth="1"/>
    <col min="13" max="13" width="4.375" style="95" customWidth="1"/>
    <col min="14" max="14" width="9" style="96"/>
    <col min="15" max="15" width="13.625" style="96" customWidth="1"/>
    <col min="16" max="16384" width="9" style="96"/>
  </cols>
  <sheetData>
    <row r="2" s="90" customFormat="1" ht="16.7" customHeight="1" spans="1:13">
      <c r="A2" s="1"/>
      <c r="B2" s="1" t="s">
        <v>0</v>
      </c>
      <c r="C2" s="1"/>
      <c r="D2" s="1"/>
      <c r="E2" s="1"/>
      <c r="F2" s="1" t="s">
        <v>0</v>
      </c>
      <c r="G2" s="1"/>
      <c r="H2" s="1"/>
      <c r="J2" s="1" t="s">
        <v>0</v>
      </c>
      <c r="K2" s="1"/>
      <c r="L2" s="1"/>
      <c r="M2" s="110"/>
    </row>
    <row r="3" ht="16.7" customHeight="1" spans="1:13">
      <c r="A3" s="97"/>
      <c r="B3" s="2"/>
      <c r="C3" s="2"/>
      <c r="D3" s="3" t="s">
        <v>1</v>
      </c>
      <c r="E3" s="97"/>
      <c r="F3" s="2" t="s">
        <v>2</v>
      </c>
      <c r="G3" s="2"/>
      <c r="H3" s="3" t="s">
        <v>3</v>
      </c>
      <c r="J3" s="2" t="s">
        <v>2</v>
      </c>
      <c r="K3" s="2"/>
      <c r="L3" s="3" t="s">
        <v>4</v>
      </c>
      <c r="M3" s="111"/>
    </row>
    <row r="4" ht="16.7" customHeight="1" spans="1:13">
      <c r="A4" s="98"/>
      <c r="B4" s="4" t="s">
        <v>5</v>
      </c>
      <c r="C4" s="5">
        <v>30</v>
      </c>
      <c r="D4" s="6">
        <v>45800</v>
      </c>
      <c r="E4" s="98"/>
      <c r="F4" s="4" t="s">
        <v>5</v>
      </c>
      <c r="G4" s="5">
        <v>30</v>
      </c>
      <c r="H4" s="6">
        <v>36300</v>
      </c>
      <c r="J4" s="4" t="s">
        <v>5</v>
      </c>
      <c r="K4" s="5">
        <v>30</v>
      </c>
      <c r="L4" s="6">
        <v>29500</v>
      </c>
      <c r="M4" s="98"/>
    </row>
    <row r="5" ht="16.5" customHeight="1" spans="1:13">
      <c r="A5" s="98"/>
      <c r="B5" s="7"/>
      <c r="C5" s="8"/>
      <c r="D5" s="9">
        <v>29200</v>
      </c>
      <c r="E5" s="98"/>
      <c r="F5" s="7"/>
      <c r="G5" s="8"/>
      <c r="H5" s="9">
        <v>33700</v>
      </c>
      <c r="J5" s="7"/>
      <c r="K5" s="8"/>
      <c r="L5" s="9">
        <v>6410</v>
      </c>
      <c r="M5" s="98"/>
    </row>
    <row r="6" ht="16.5" customHeight="1" spans="1:13">
      <c r="A6" s="98"/>
      <c r="B6" s="7"/>
      <c r="C6" s="8"/>
      <c r="D6" s="9"/>
      <c r="E6" s="98"/>
      <c r="F6" s="7"/>
      <c r="G6" s="8"/>
      <c r="H6" s="9"/>
      <c r="J6" s="7"/>
      <c r="K6" s="8"/>
      <c r="L6" s="9"/>
      <c r="M6" s="98"/>
    </row>
    <row r="7" ht="16.7" customHeight="1" spans="1:13">
      <c r="A7" s="98"/>
      <c r="B7" s="10" t="s">
        <v>6</v>
      </c>
      <c r="C7" s="11"/>
      <c r="D7" s="12"/>
      <c r="E7" s="98"/>
      <c r="F7" s="10" t="s">
        <v>6</v>
      </c>
      <c r="G7" s="11"/>
      <c r="H7" s="12"/>
      <c r="J7" s="10" t="s">
        <v>6</v>
      </c>
      <c r="K7" s="11"/>
      <c r="L7" s="12"/>
      <c r="M7" s="98"/>
    </row>
    <row r="8" ht="16.7" customHeight="1" spans="1:13">
      <c r="A8" s="98"/>
      <c r="B8" s="13" t="s">
        <v>7</v>
      </c>
      <c r="C8" s="14"/>
      <c r="D8" s="15">
        <f>SUM(D4:D7)</f>
        <v>75000</v>
      </c>
      <c r="E8" s="98"/>
      <c r="F8" s="13" t="s">
        <v>7</v>
      </c>
      <c r="G8" s="14"/>
      <c r="H8" s="15">
        <f>SUM(H4:H7)</f>
        <v>70000</v>
      </c>
      <c r="J8" s="13" t="s">
        <v>7</v>
      </c>
      <c r="K8" s="14"/>
      <c r="L8" s="15">
        <f>SUM(L4:L7)</f>
        <v>35910</v>
      </c>
      <c r="M8" s="98"/>
    </row>
    <row r="9" ht="16.7" customHeight="1" spans="1:13">
      <c r="A9" s="98"/>
      <c r="B9" s="16" t="s">
        <v>8</v>
      </c>
      <c r="C9" s="17"/>
      <c r="D9" s="18"/>
      <c r="E9" s="98"/>
      <c r="F9" s="16" t="s">
        <v>8</v>
      </c>
      <c r="G9" s="17"/>
      <c r="H9" s="18"/>
      <c r="J9" s="16" t="s">
        <v>8</v>
      </c>
      <c r="K9" s="17"/>
      <c r="L9" s="18"/>
      <c r="M9" s="98"/>
    </row>
    <row r="10" ht="16.7" customHeight="1" spans="1:13">
      <c r="A10" s="98"/>
      <c r="B10" s="7" t="s">
        <v>9</v>
      </c>
      <c r="C10" s="19"/>
      <c r="D10" s="9"/>
      <c r="E10" s="98"/>
      <c r="F10" s="7" t="s">
        <v>9</v>
      </c>
      <c r="G10" s="19"/>
      <c r="H10" s="9"/>
      <c r="J10" s="7" t="s">
        <v>9</v>
      </c>
      <c r="K10" s="19"/>
      <c r="L10" s="9"/>
      <c r="M10" s="98"/>
    </row>
    <row r="11" ht="16.7" customHeight="1" spans="1:13">
      <c r="A11" s="98"/>
      <c r="B11" s="7" t="s">
        <v>10</v>
      </c>
      <c r="C11" s="8"/>
      <c r="D11" s="9"/>
      <c r="E11" s="98"/>
      <c r="F11" s="7" t="s">
        <v>10</v>
      </c>
      <c r="G11" s="8"/>
      <c r="H11" s="9"/>
      <c r="J11" s="7" t="s">
        <v>10</v>
      </c>
      <c r="K11" s="8"/>
      <c r="L11" s="9"/>
      <c r="M11" s="98"/>
    </row>
    <row r="12" ht="16.7" customHeight="1" spans="1:13">
      <c r="A12" s="98"/>
      <c r="B12" s="7"/>
      <c r="C12" s="19"/>
      <c r="D12" s="9"/>
      <c r="E12" s="98"/>
      <c r="F12" s="7"/>
      <c r="G12" s="19"/>
      <c r="H12" s="9"/>
      <c r="J12" s="7"/>
      <c r="K12" s="19"/>
      <c r="L12" s="9"/>
      <c r="M12" s="98"/>
    </row>
    <row r="13" ht="16.7" customHeight="1" spans="1:13">
      <c r="A13" s="98"/>
      <c r="B13" s="20"/>
      <c r="C13" s="21"/>
      <c r="D13" s="22"/>
      <c r="E13" s="98"/>
      <c r="F13" s="20"/>
      <c r="G13" s="21"/>
      <c r="H13" s="22"/>
      <c r="J13" s="20"/>
      <c r="K13" s="21"/>
      <c r="L13" s="22"/>
      <c r="M13" s="98"/>
    </row>
    <row r="14" ht="16.7" customHeight="1" spans="1:13">
      <c r="A14" s="98"/>
      <c r="B14" s="23" t="s">
        <v>11</v>
      </c>
      <c r="C14" s="24"/>
      <c r="D14" s="25">
        <f>SUM(D9:D13)</f>
        <v>0</v>
      </c>
      <c r="E14" s="98"/>
      <c r="F14" s="23" t="s">
        <v>11</v>
      </c>
      <c r="G14" s="24"/>
      <c r="H14" s="25">
        <f>SUM(H9:H13)</f>
        <v>0</v>
      </c>
      <c r="J14" s="23" t="s">
        <v>11</v>
      </c>
      <c r="K14" s="24"/>
      <c r="L14" s="25">
        <f>SUM(L9:L13)</f>
        <v>0</v>
      </c>
      <c r="M14" s="98"/>
    </row>
    <row r="15" ht="16.7" customHeight="1" spans="1:13">
      <c r="A15" s="98"/>
      <c r="B15" s="7" t="s">
        <v>12</v>
      </c>
      <c r="C15" s="19">
        <v>20</v>
      </c>
      <c r="D15" s="26"/>
      <c r="E15" s="98"/>
      <c r="F15" s="7" t="s">
        <v>12</v>
      </c>
      <c r="G15" s="19">
        <v>20</v>
      </c>
      <c r="H15" s="26"/>
      <c r="J15" s="7" t="s">
        <v>12</v>
      </c>
      <c r="K15" s="19">
        <v>20</v>
      </c>
      <c r="L15" s="26"/>
      <c r="M15" s="98"/>
    </row>
    <row r="16" ht="16.7" customHeight="1" spans="1:13">
      <c r="A16" s="98"/>
      <c r="B16" s="27" t="s">
        <v>13</v>
      </c>
      <c r="C16" s="11"/>
      <c r="D16" s="28">
        <f>D14*C15</f>
        <v>0</v>
      </c>
      <c r="E16" s="98"/>
      <c r="F16" s="27" t="s">
        <v>13</v>
      </c>
      <c r="G16" s="11"/>
      <c r="H16" s="28">
        <f>H14*G15</f>
        <v>0</v>
      </c>
      <c r="J16" s="27" t="s">
        <v>13</v>
      </c>
      <c r="K16" s="11"/>
      <c r="L16" s="28">
        <f>L14*K15</f>
        <v>0</v>
      </c>
      <c r="M16" s="98"/>
    </row>
    <row r="17" ht="16.7" customHeight="1" spans="1:13">
      <c r="A17" s="98"/>
      <c r="B17" s="29" t="s">
        <v>14</v>
      </c>
      <c r="C17" s="30"/>
      <c r="D17" s="31"/>
      <c r="E17" s="98"/>
      <c r="F17" s="29" t="s">
        <v>14</v>
      </c>
      <c r="G17" s="30"/>
      <c r="H17" s="31">
        <f>H4*0.06</f>
        <v>2178</v>
      </c>
      <c r="J17" s="29" t="s">
        <v>14</v>
      </c>
      <c r="K17" s="30"/>
      <c r="L17" s="31">
        <f>L4*0.06</f>
        <v>1770</v>
      </c>
      <c r="M17" s="98"/>
    </row>
    <row r="18" ht="16.7" customHeight="1" spans="1:13">
      <c r="A18" s="98"/>
      <c r="B18" s="99" t="s">
        <v>15</v>
      </c>
      <c r="C18" s="21"/>
      <c r="D18" s="22"/>
      <c r="E18" s="98"/>
      <c r="F18" s="7"/>
      <c r="G18" s="32"/>
      <c r="H18" s="9"/>
      <c r="J18" s="7"/>
      <c r="K18" s="32"/>
      <c r="L18" s="9"/>
      <c r="M18" s="98"/>
    </row>
    <row r="19" ht="16.7" customHeight="1" spans="1:13">
      <c r="A19" s="98"/>
      <c r="B19" s="99" t="s">
        <v>16</v>
      </c>
      <c r="C19" s="32"/>
      <c r="D19" s="9"/>
      <c r="E19" s="98"/>
      <c r="F19" s="7"/>
      <c r="G19" s="32"/>
      <c r="H19" s="9"/>
      <c r="J19" s="7"/>
      <c r="K19" s="32"/>
      <c r="L19" s="9"/>
      <c r="M19" s="98"/>
    </row>
    <row r="20" ht="16.7" customHeight="1" spans="1:13">
      <c r="A20" s="98"/>
      <c r="B20" s="7" t="s">
        <v>17</v>
      </c>
      <c r="C20" s="32"/>
      <c r="D20" s="9"/>
      <c r="E20" s="98"/>
      <c r="F20" s="104"/>
      <c r="G20" s="17"/>
      <c r="H20" s="18"/>
      <c r="J20" s="104"/>
      <c r="K20" s="17"/>
      <c r="L20" s="18"/>
      <c r="M20" s="98"/>
    </row>
    <row r="21" ht="16.7" customHeight="1" spans="1:13">
      <c r="A21" s="98"/>
      <c r="B21" s="33" t="s">
        <v>18</v>
      </c>
      <c r="C21" s="34"/>
      <c r="D21" s="35">
        <f>D8+D16+D17+D18+D19+D20</f>
        <v>75000</v>
      </c>
      <c r="E21" s="98"/>
      <c r="F21" s="33" t="s">
        <v>18</v>
      </c>
      <c r="G21" s="34"/>
      <c r="H21" s="35">
        <f>H8+H16+H17+H18+H19+H20</f>
        <v>72178</v>
      </c>
      <c r="J21" s="33" t="s">
        <v>18</v>
      </c>
      <c r="K21" s="34"/>
      <c r="L21" s="35">
        <f>L8+L16+L17+L18+L19+L20</f>
        <v>37680</v>
      </c>
      <c r="M21" s="98"/>
    </row>
    <row r="22" ht="16.7" customHeight="1" spans="1:13">
      <c r="A22" s="98"/>
      <c r="B22" s="29" t="s">
        <v>19</v>
      </c>
      <c r="C22" s="30"/>
      <c r="D22" s="36">
        <v>1053</v>
      </c>
      <c r="E22" s="98"/>
      <c r="F22" s="29" t="s">
        <v>19</v>
      </c>
      <c r="G22" s="30"/>
      <c r="H22" s="36">
        <v>908</v>
      </c>
      <c r="J22" s="29" t="s">
        <v>19</v>
      </c>
      <c r="K22" s="30"/>
      <c r="L22" s="36">
        <v>738</v>
      </c>
      <c r="M22" s="98"/>
    </row>
    <row r="23" ht="16.7" customHeight="1" spans="1:13">
      <c r="A23" s="98"/>
      <c r="B23" s="7" t="s">
        <v>20</v>
      </c>
      <c r="C23" s="8"/>
      <c r="D23" s="9">
        <v>2368</v>
      </c>
      <c r="E23" s="98"/>
      <c r="F23" s="7" t="s">
        <v>20</v>
      </c>
      <c r="G23" s="8"/>
      <c r="H23" s="9">
        <v>563</v>
      </c>
      <c r="J23" s="7" t="s">
        <v>20</v>
      </c>
      <c r="K23" s="8"/>
      <c r="L23" s="9">
        <v>1374</v>
      </c>
      <c r="M23" s="98"/>
    </row>
    <row r="24" ht="16.7" customHeight="1" spans="1:13">
      <c r="A24" s="98"/>
      <c r="B24" s="7"/>
      <c r="C24" s="100"/>
      <c r="D24" s="101"/>
      <c r="E24" s="98"/>
      <c r="F24" s="7"/>
      <c r="G24" s="21"/>
      <c r="H24" s="22"/>
      <c r="J24" s="7"/>
      <c r="K24" s="21"/>
      <c r="L24" s="22"/>
      <c r="M24" s="98"/>
    </row>
    <row r="25" ht="16.7" customHeight="1" spans="1:13">
      <c r="A25" s="98"/>
      <c r="B25" s="7"/>
      <c r="C25" s="21"/>
      <c r="D25" s="101"/>
      <c r="E25" s="98"/>
      <c r="F25" s="7"/>
      <c r="G25" s="21"/>
      <c r="H25" s="22"/>
      <c r="J25" s="7"/>
      <c r="K25" s="21"/>
      <c r="L25" s="22"/>
      <c r="M25" s="98"/>
    </row>
    <row r="26" ht="16.7" customHeight="1" spans="1:13">
      <c r="A26" s="98"/>
      <c r="B26" s="37" t="s">
        <v>21</v>
      </c>
      <c r="C26" s="38"/>
      <c r="D26" s="39">
        <f>SUM(D22:D25)</f>
        <v>3421</v>
      </c>
      <c r="E26" s="98"/>
      <c r="F26" s="37" t="s">
        <v>21</v>
      </c>
      <c r="G26" s="38"/>
      <c r="H26" s="39">
        <f>SUM(H22:H25)</f>
        <v>1471</v>
      </c>
      <c r="J26" s="37" t="s">
        <v>21</v>
      </c>
      <c r="K26" s="38"/>
      <c r="L26" s="39">
        <f>SUM(L22:L25)</f>
        <v>2112</v>
      </c>
      <c r="M26" s="98"/>
    </row>
    <row r="27" s="91" customFormat="1" ht="16.7" customHeight="1" spans="1:13">
      <c r="A27" s="102"/>
      <c r="B27" s="40" t="s">
        <v>22</v>
      </c>
      <c r="C27" s="41"/>
      <c r="D27" s="42">
        <f>D4</f>
        <v>45800</v>
      </c>
      <c r="E27" s="102"/>
      <c r="F27" s="40" t="s">
        <v>22</v>
      </c>
      <c r="G27" s="41"/>
      <c r="H27" s="42">
        <f>H4+H6</f>
        <v>36300</v>
      </c>
      <c r="I27" s="108"/>
      <c r="J27" s="40" t="s">
        <v>22</v>
      </c>
      <c r="K27" s="41"/>
      <c r="L27" s="42">
        <f>L4+L6</f>
        <v>29500</v>
      </c>
      <c r="M27" s="102"/>
    </row>
    <row r="28" s="92" customFormat="1" ht="16.7" customHeight="1" spans="1:13">
      <c r="A28" s="103"/>
      <c r="B28" s="43" t="s">
        <v>23</v>
      </c>
      <c r="C28" s="44"/>
      <c r="D28" s="45">
        <f>D21-D26-D27-D29</f>
        <v>25779</v>
      </c>
      <c r="E28" s="103"/>
      <c r="F28" s="43" t="s">
        <v>24</v>
      </c>
      <c r="G28" s="44"/>
      <c r="H28" s="45">
        <f>H21-H26-H27-H29</f>
        <v>32229</v>
      </c>
      <c r="I28" s="109"/>
      <c r="J28" s="43" t="s">
        <v>24</v>
      </c>
      <c r="K28" s="44"/>
      <c r="L28" s="45">
        <f>L21-L26-L27-L29</f>
        <v>4298</v>
      </c>
      <c r="M28" s="103"/>
    </row>
    <row r="29" ht="16.7" customHeight="1" spans="1:13">
      <c r="A29" s="98"/>
      <c r="B29" s="46" t="s">
        <v>25</v>
      </c>
      <c r="C29" s="47"/>
      <c r="D29" s="48">
        <f>D17</f>
        <v>0</v>
      </c>
      <c r="E29" s="98"/>
      <c r="F29" s="46" t="s">
        <v>25</v>
      </c>
      <c r="G29" s="47"/>
      <c r="H29" s="48">
        <f>H17</f>
        <v>2178</v>
      </c>
      <c r="J29" s="46" t="s">
        <v>25</v>
      </c>
      <c r="K29" s="47"/>
      <c r="L29" s="48">
        <f>L17</f>
        <v>1770</v>
      </c>
      <c r="M29" s="98"/>
    </row>
    <row r="30" ht="16.7" customHeight="1" spans="1:15">
      <c r="A30" s="98"/>
      <c r="B30" s="62"/>
      <c r="C30" s="62"/>
      <c r="D30" s="98"/>
      <c r="E30" s="98"/>
      <c r="F30" s="62"/>
      <c r="G30" s="62"/>
      <c r="H30" s="98"/>
      <c r="J30" s="62"/>
      <c r="K30" s="62"/>
      <c r="L30" s="98"/>
      <c r="M30" s="98"/>
      <c r="O30" s="112">
        <f>D30+H30+L30</f>
        <v>0</v>
      </c>
    </row>
    <row r="31" s="90" customFormat="1" ht="16.7" customHeight="1" spans="1:13">
      <c r="A31" s="1"/>
      <c r="B31" s="1" t="s">
        <v>0</v>
      </c>
      <c r="C31" s="1"/>
      <c r="D31" s="1"/>
      <c r="E31" s="1"/>
      <c r="F31" s="1" t="s">
        <v>0</v>
      </c>
      <c r="G31" s="1"/>
      <c r="H31" s="1"/>
      <c r="J31" s="1" t="s">
        <v>0</v>
      </c>
      <c r="K31" s="1"/>
      <c r="L31" s="1"/>
      <c r="M31" s="110"/>
    </row>
    <row r="32" ht="16.7" customHeight="1" spans="1:13">
      <c r="A32" s="97"/>
      <c r="B32" s="2" t="s">
        <v>2</v>
      </c>
      <c r="C32" s="2"/>
      <c r="D32" s="3" t="s">
        <v>26</v>
      </c>
      <c r="E32" s="97"/>
      <c r="F32" s="2" t="s">
        <v>2</v>
      </c>
      <c r="G32" s="2"/>
      <c r="H32" s="3" t="s">
        <v>27</v>
      </c>
      <c r="J32" s="2" t="s">
        <v>2</v>
      </c>
      <c r="K32" s="2"/>
      <c r="L32" s="3" t="s">
        <v>28</v>
      </c>
      <c r="M32" s="111"/>
    </row>
    <row r="33" ht="16.7" customHeight="1" spans="1:13">
      <c r="A33" s="98"/>
      <c r="B33" s="4" t="s">
        <v>5</v>
      </c>
      <c r="C33" s="5">
        <v>30</v>
      </c>
      <c r="D33" s="6">
        <v>30300</v>
      </c>
      <c r="E33" s="98"/>
      <c r="F33" s="4" t="s">
        <v>5</v>
      </c>
      <c r="G33" s="5">
        <v>30</v>
      </c>
      <c r="H33" s="6">
        <v>30300</v>
      </c>
      <c r="J33" s="4" t="s">
        <v>5</v>
      </c>
      <c r="K33" s="5">
        <v>30</v>
      </c>
      <c r="L33" s="6">
        <v>33300</v>
      </c>
      <c r="M33" s="98"/>
    </row>
    <row r="34" ht="16.5" customHeight="1" spans="1:13">
      <c r="A34" s="98"/>
      <c r="B34" s="7"/>
      <c r="C34" s="8"/>
      <c r="D34" s="9"/>
      <c r="E34" s="98"/>
      <c r="F34" s="7" t="s">
        <v>29</v>
      </c>
      <c r="G34" s="8">
        <v>17.5</v>
      </c>
      <c r="H34" s="9">
        <v>17675</v>
      </c>
      <c r="J34" s="7" t="s">
        <v>29</v>
      </c>
      <c r="K34" s="8">
        <v>22</v>
      </c>
      <c r="L34" s="9">
        <v>24420</v>
      </c>
      <c r="M34" s="98"/>
    </row>
    <row r="35" ht="16.7" customHeight="1" spans="1:13">
      <c r="A35" s="98"/>
      <c r="B35" s="7"/>
      <c r="C35" s="8"/>
      <c r="D35" s="9"/>
      <c r="E35" s="98"/>
      <c r="F35" s="7"/>
      <c r="G35" s="8"/>
      <c r="H35" s="9"/>
      <c r="J35" s="7"/>
      <c r="K35" s="8"/>
      <c r="L35" s="9"/>
      <c r="M35" s="98"/>
    </row>
    <row r="36" ht="16.7" customHeight="1" spans="1:13">
      <c r="A36" s="98"/>
      <c r="B36" s="10" t="s">
        <v>6</v>
      </c>
      <c r="C36" s="11"/>
      <c r="D36" s="12"/>
      <c r="E36" s="98"/>
      <c r="F36" s="10" t="s">
        <v>6</v>
      </c>
      <c r="G36" s="11"/>
      <c r="H36" s="12"/>
      <c r="J36" s="10" t="s">
        <v>6</v>
      </c>
      <c r="K36" s="11"/>
      <c r="L36" s="12"/>
      <c r="M36" s="98"/>
    </row>
    <row r="37" ht="16.7" customHeight="1" spans="1:13">
      <c r="A37" s="98"/>
      <c r="B37" s="13" t="s">
        <v>7</v>
      </c>
      <c r="C37" s="14"/>
      <c r="D37" s="15">
        <f>SUM(D33:D36)</f>
        <v>30300</v>
      </c>
      <c r="E37" s="98"/>
      <c r="F37" s="13" t="s">
        <v>7</v>
      </c>
      <c r="G37" s="14"/>
      <c r="H37" s="15">
        <f>SUM(H33:H36)</f>
        <v>47975</v>
      </c>
      <c r="J37" s="13" t="s">
        <v>7</v>
      </c>
      <c r="K37" s="14"/>
      <c r="L37" s="15">
        <f>SUM(L33:L36)</f>
        <v>57720</v>
      </c>
      <c r="M37" s="98"/>
    </row>
    <row r="38" ht="16.7" customHeight="1" spans="1:13">
      <c r="A38" s="98"/>
      <c r="B38" s="16" t="s">
        <v>8</v>
      </c>
      <c r="C38" s="17"/>
      <c r="D38" s="18">
        <v>110</v>
      </c>
      <c r="E38" s="98"/>
      <c r="F38" s="16" t="s">
        <v>8</v>
      </c>
      <c r="G38" s="17"/>
      <c r="H38" s="18">
        <v>110</v>
      </c>
      <c r="J38" s="16" t="s">
        <v>8</v>
      </c>
      <c r="K38" s="17"/>
      <c r="L38" s="18">
        <v>110</v>
      </c>
      <c r="M38" s="98"/>
    </row>
    <row r="39" ht="16.7" customHeight="1" spans="1:13">
      <c r="A39" s="98"/>
      <c r="B39" s="7" t="s">
        <v>9</v>
      </c>
      <c r="C39" s="19"/>
      <c r="D39" s="9">
        <v>253</v>
      </c>
      <c r="E39" s="98"/>
      <c r="F39" s="7" t="s">
        <v>9</v>
      </c>
      <c r="G39" s="19"/>
      <c r="H39" s="9">
        <v>337</v>
      </c>
      <c r="J39" s="7" t="s">
        <v>9</v>
      </c>
      <c r="K39" s="19"/>
      <c r="L39" s="9">
        <v>370</v>
      </c>
      <c r="M39" s="98"/>
    </row>
    <row r="40" ht="16.7" customHeight="1" spans="1:13">
      <c r="A40" s="98"/>
      <c r="B40" s="7" t="s">
        <v>10</v>
      </c>
      <c r="C40" s="8"/>
      <c r="D40" s="9">
        <v>149</v>
      </c>
      <c r="E40" s="98"/>
      <c r="F40" s="7" t="s">
        <v>10</v>
      </c>
      <c r="G40" s="8"/>
      <c r="H40" s="9">
        <v>424</v>
      </c>
      <c r="J40" s="7" t="s">
        <v>10</v>
      </c>
      <c r="K40" s="8"/>
      <c r="L40" s="9">
        <v>131</v>
      </c>
      <c r="M40" s="98"/>
    </row>
    <row r="41" ht="16.7" customHeight="1" spans="1:13">
      <c r="A41" s="98"/>
      <c r="B41" s="7"/>
      <c r="C41" s="19"/>
      <c r="D41" s="9"/>
      <c r="E41" s="98"/>
      <c r="F41" s="7"/>
      <c r="G41" s="19"/>
      <c r="H41" s="9"/>
      <c r="J41" s="7"/>
      <c r="K41" s="19"/>
      <c r="L41" s="9"/>
      <c r="M41" s="98"/>
    </row>
    <row r="42" ht="16.7" customHeight="1" spans="1:13">
      <c r="A42" s="98"/>
      <c r="B42" s="20"/>
      <c r="C42" s="21"/>
      <c r="D42" s="22"/>
      <c r="E42" s="98"/>
      <c r="F42" s="20"/>
      <c r="G42" s="21"/>
      <c r="H42" s="22"/>
      <c r="J42" s="20"/>
      <c r="K42" s="21"/>
      <c r="L42" s="22"/>
      <c r="M42" s="98"/>
    </row>
    <row r="43" ht="16.7" customHeight="1" spans="1:13">
      <c r="A43" s="98"/>
      <c r="B43" s="23" t="s">
        <v>11</v>
      </c>
      <c r="C43" s="24"/>
      <c r="D43" s="25">
        <f>SUM(D38:D42)</f>
        <v>512</v>
      </c>
      <c r="E43" s="98"/>
      <c r="F43" s="23" t="s">
        <v>11</v>
      </c>
      <c r="G43" s="24"/>
      <c r="H43" s="25">
        <f>SUM(H38:H42)</f>
        <v>871</v>
      </c>
      <c r="J43" s="23" t="s">
        <v>11</v>
      </c>
      <c r="K43" s="24"/>
      <c r="L43" s="25">
        <f>SUM(L38:L42)</f>
        <v>611</v>
      </c>
      <c r="M43" s="98"/>
    </row>
    <row r="44" ht="16.7" customHeight="1" spans="1:13">
      <c r="A44" s="98"/>
      <c r="B44" s="7" t="s">
        <v>12</v>
      </c>
      <c r="C44" s="19">
        <v>21</v>
      </c>
      <c r="D44" s="26"/>
      <c r="E44" s="98"/>
      <c r="F44" s="7" t="s">
        <v>12</v>
      </c>
      <c r="G44" s="19">
        <v>21</v>
      </c>
      <c r="H44" s="26"/>
      <c r="J44" s="7" t="s">
        <v>12</v>
      </c>
      <c r="K44" s="19">
        <v>20</v>
      </c>
      <c r="L44" s="26"/>
      <c r="M44" s="98"/>
    </row>
    <row r="45" ht="16.7" customHeight="1" spans="1:13">
      <c r="A45" s="98"/>
      <c r="B45" s="27" t="s">
        <v>13</v>
      </c>
      <c r="C45" s="11"/>
      <c r="D45" s="28">
        <f>D43*C44</f>
        <v>10752</v>
      </c>
      <c r="E45" s="98"/>
      <c r="F45" s="27" t="s">
        <v>13</v>
      </c>
      <c r="G45" s="11"/>
      <c r="H45" s="28">
        <f>H43*G44</f>
        <v>18291</v>
      </c>
      <c r="J45" s="27" t="s">
        <v>13</v>
      </c>
      <c r="K45" s="11"/>
      <c r="L45" s="28">
        <f>L43*K44</f>
        <v>12220</v>
      </c>
      <c r="M45" s="98"/>
    </row>
    <row r="46" ht="16.7" customHeight="1" spans="1:13">
      <c r="A46" s="98"/>
      <c r="B46" s="29" t="s">
        <v>14</v>
      </c>
      <c r="C46" s="30"/>
      <c r="D46" s="31">
        <f>D33*0.06</f>
        <v>1818</v>
      </c>
      <c r="E46" s="98"/>
      <c r="F46" s="29" t="s">
        <v>14</v>
      </c>
      <c r="G46" s="30"/>
      <c r="H46" s="31">
        <f>H33*0.06</f>
        <v>1818</v>
      </c>
      <c r="J46" s="29" t="s">
        <v>14</v>
      </c>
      <c r="K46" s="30"/>
      <c r="L46" s="31">
        <f>L33*0.06</f>
        <v>1998</v>
      </c>
      <c r="M46" s="98"/>
    </row>
    <row r="47" ht="16.7" customHeight="1" spans="1:13">
      <c r="A47" s="98"/>
      <c r="B47" s="7"/>
      <c r="C47" s="32"/>
      <c r="D47" s="9"/>
      <c r="E47" s="98"/>
      <c r="F47" s="7"/>
      <c r="G47" s="32"/>
      <c r="H47" s="9"/>
      <c r="J47" s="7"/>
      <c r="K47" s="21"/>
      <c r="L47" s="22"/>
      <c r="M47" s="98"/>
    </row>
    <row r="48" ht="16.7" customHeight="1" spans="1:13">
      <c r="A48" s="98"/>
      <c r="B48" s="7"/>
      <c r="C48" s="32"/>
      <c r="D48" s="9"/>
      <c r="E48" s="98"/>
      <c r="F48" s="7"/>
      <c r="G48" s="32"/>
      <c r="H48" s="9"/>
      <c r="J48" s="7" t="s">
        <v>30</v>
      </c>
      <c r="K48" s="32"/>
      <c r="L48" s="9">
        <v>30450</v>
      </c>
      <c r="M48" s="98"/>
    </row>
    <row r="49" ht="16.7" customHeight="1" spans="1:13">
      <c r="A49" s="98"/>
      <c r="B49" s="104"/>
      <c r="C49" s="17"/>
      <c r="D49" s="18"/>
      <c r="E49" s="98"/>
      <c r="F49" s="104"/>
      <c r="G49" s="17"/>
      <c r="H49" s="18"/>
      <c r="J49" s="104" t="s">
        <v>31</v>
      </c>
      <c r="K49" s="17"/>
      <c r="L49" s="18">
        <v>1400</v>
      </c>
      <c r="M49" s="98"/>
    </row>
    <row r="50" ht="16.7" customHeight="1" spans="1:13">
      <c r="A50" s="98"/>
      <c r="B50" s="33" t="s">
        <v>18</v>
      </c>
      <c r="C50" s="34"/>
      <c r="D50" s="35">
        <f>D37+D45+D46+D47+D48+D49</f>
        <v>42870</v>
      </c>
      <c r="E50" s="98"/>
      <c r="F50" s="33" t="s">
        <v>18</v>
      </c>
      <c r="G50" s="34"/>
      <c r="H50" s="35">
        <f>H37+H45+H46+H47+H48+H49</f>
        <v>68084</v>
      </c>
      <c r="J50" s="33" t="s">
        <v>18</v>
      </c>
      <c r="K50" s="34"/>
      <c r="L50" s="35">
        <f>L37+L45+L46+L47+L48+L49</f>
        <v>103788</v>
      </c>
      <c r="M50" s="98"/>
    </row>
    <row r="51" ht="16.7" customHeight="1" spans="1:13">
      <c r="A51" s="98"/>
      <c r="B51" s="29" t="s">
        <v>19</v>
      </c>
      <c r="C51" s="30"/>
      <c r="D51" s="36">
        <v>758</v>
      </c>
      <c r="E51" s="98"/>
      <c r="F51" s="29" t="s">
        <v>19</v>
      </c>
      <c r="G51" s="30"/>
      <c r="H51" s="36">
        <v>758</v>
      </c>
      <c r="J51" s="29" t="s">
        <v>19</v>
      </c>
      <c r="K51" s="30"/>
      <c r="L51" s="36">
        <v>833</v>
      </c>
      <c r="M51" s="98"/>
    </row>
    <row r="52" ht="16.5" customHeight="1" spans="1:13">
      <c r="A52" s="98"/>
      <c r="B52" s="7" t="s">
        <v>20</v>
      </c>
      <c r="C52" s="8"/>
      <c r="D52" s="9">
        <v>470</v>
      </c>
      <c r="E52" s="98"/>
      <c r="F52" s="7" t="s">
        <v>20</v>
      </c>
      <c r="G52" s="8"/>
      <c r="H52" s="9">
        <v>940</v>
      </c>
      <c r="J52" s="7" t="s">
        <v>20</v>
      </c>
      <c r="K52" s="8"/>
      <c r="L52" s="9">
        <v>2064</v>
      </c>
      <c r="M52" s="98"/>
    </row>
    <row r="53" ht="16.7" customHeight="1" spans="1:13">
      <c r="A53" s="98"/>
      <c r="B53" s="7" t="s">
        <v>32</v>
      </c>
      <c r="C53" s="21"/>
      <c r="D53" s="22">
        <v>1818</v>
      </c>
      <c r="E53" s="98"/>
      <c r="F53" s="7"/>
      <c r="G53" s="8"/>
      <c r="H53" s="9"/>
      <c r="J53" s="7"/>
      <c r="K53" s="8"/>
      <c r="L53" s="9"/>
      <c r="M53" s="98"/>
    </row>
    <row r="54" ht="16.7" customHeight="1" spans="1:13">
      <c r="A54" s="98"/>
      <c r="B54" s="7" t="s">
        <v>33</v>
      </c>
      <c r="C54" s="21"/>
      <c r="D54" s="22">
        <v>1085</v>
      </c>
      <c r="E54" s="98"/>
      <c r="F54" s="7" t="s">
        <v>33</v>
      </c>
      <c r="G54" s="21"/>
      <c r="H54" s="22">
        <v>630</v>
      </c>
      <c r="J54" s="7" t="s">
        <v>33</v>
      </c>
      <c r="K54" s="21"/>
      <c r="L54" s="22">
        <v>340</v>
      </c>
      <c r="M54" s="98"/>
    </row>
    <row r="55" ht="16.7" customHeight="1" spans="1:13">
      <c r="A55" s="98"/>
      <c r="B55" s="37" t="s">
        <v>21</v>
      </c>
      <c r="C55" s="38"/>
      <c r="D55" s="39">
        <f>SUM(D51:D54)</f>
        <v>4131</v>
      </c>
      <c r="E55" s="98"/>
      <c r="F55" s="37" t="s">
        <v>21</v>
      </c>
      <c r="G55" s="38"/>
      <c r="H55" s="39">
        <f>SUM(H51:H54)</f>
        <v>2328</v>
      </c>
      <c r="J55" s="37" t="s">
        <v>21</v>
      </c>
      <c r="K55" s="38"/>
      <c r="L55" s="39">
        <f>SUM(L51:L54)</f>
        <v>3237</v>
      </c>
      <c r="M55" s="98"/>
    </row>
    <row r="56" s="91" customFormat="1" ht="16.7" customHeight="1" spans="1:13">
      <c r="A56" s="102"/>
      <c r="B56" s="40" t="s">
        <v>22</v>
      </c>
      <c r="C56" s="41"/>
      <c r="D56" s="42">
        <f>D37</f>
        <v>30300</v>
      </c>
      <c r="E56" s="102"/>
      <c r="F56" s="40" t="s">
        <v>22</v>
      </c>
      <c r="G56" s="41"/>
      <c r="H56" s="42">
        <f>H37</f>
        <v>47975</v>
      </c>
      <c r="I56" s="108"/>
      <c r="J56" s="40" t="s">
        <v>22</v>
      </c>
      <c r="K56" s="41"/>
      <c r="L56" s="42">
        <f>L37</f>
        <v>57720</v>
      </c>
      <c r="M56" s="102"/>
    </row>
    <row r="57" s="92" customFormat="1" ht="16.7" customHeight="1" spans="1:13">
      <c r="A57" s="103"/>
      <c r="B57" s="43" t="s">
        <v>24</v>
      </c>
      <c r="C57" s="44"/>
      <c r="D57" s="45">
        <f>D50-D55-D56-D58</f>
        <v>6621</v>
      </c>
      <c r="E57" s="103"/>
      <c r="F57" s="43" t="s">
        <v>24</v>
      </c>
      <c r="G57" s="44"/>
      <c r="H57" s="45">
        <f>H50-H55-H56-H58</f>
        <v>15963</v>
      </c>
      <c r="I57" s="109"/>
      <c r="J57" s="43" t="s">
        <v>24</v>
      </c>
      <c r="K57" s="44"/>
      <c r="L57" s="45">
        <f>L50-L55-L56-L58</f>
        <v>40833</v>
      </c>
      <c r="M57" s="103"/>
    </row>
    <row r="58" ht="16.7" customHeight="1" spans="1:13">
      <c r="A58" s="98"/>
      <c r="B58" s="46" t="s">
        <v>25</v>
      </c>
      <c r="C58" s="47"/>
      <c r="D58" s="48">
        <f>D46</f>
        <v>1818</v>
      </c>
      <c r="E58" s="98"/>
      <c r="F58" s="46" t="s">
        <v>25</v>
      </c>
      <c r="G58" s="47"/>
      <c r="H58" s="48">
        <f>H46</f>
        <v>1818</v>
      </c>
      <c r="J58" s="46" t="s">
        <v>25</v>
      </c>
      <c r="K58" s="47"/>
      <c r="L58" s="48">
        <f>L46</f>
        <v>1998</v>
      </c>
      <c r="M58" s="98"/>
    </row>
    <row r="59" ht="16.7" customHeight="1" spans="1:13">
      <c r="A59" s="98"/>
      <c r="B59" s="105"/>
      <c r="C59" s="106"/>
      <c r="D59" s="107"/>
      <c r="E59" s="98"/>
      <c r="F59" s="105"/>
      <c r="G59" s="106"/>
      <c r="H59" s="107"/>
      <c r="J59" s="105"/>
      <c r="K59" s="106"/>
      <c r="L59" s="107"/>
      <c r="M59" s="98"/>
    </row>
    <row r="60" s="90" customFormat="1" ht="16.7" customHeight="1" spans="1:13">
      <c r="A60" s="1"/>
      <c r="B60" s="1" t="s">
        <v>0</v>
      </c>
      <c r="C60" s="1"/>
      <c r="D60" s="1"/>
      <c r="E60" s="1"/>
      <c r="F60" s="1" t="s">
        <v>0</v>
      </c>
      <c r="G60" s="1"/>
      <c r="H60" s="1"/>
      <c r="J60" s="1" t="s">
        <v>0</v>
      </c>
      <c r="K60" s="1"/>
      <c r="L60" s="1"/>
      <c r="M60" s="110"/>
    </row>
    <row r="61" ht="16.7" customHeight="1" spans="1:13">
      <c r="A61" s="97"/>
      <c r="B61" s="2" t="s">
        <v>2</v>
      </c>
      <c r="C61" s="2"/>
      <c r="D61" s="3" t="s">
        <v>34</v>
      </c>
      <c r="E61" s="97"/>
      <c r="F61" s="2" t="s">
        <v>2</v>
      </c>
      <c r="G61" s="2"/>
      <c r="H61" s="3" t="s">
        <v>35</v>
      </c>
      <c r="J61" s="2" t="s">
        <v>2</v>
      </c>
      <c r="K61" s="2"/>
      <c r="L61" s="3" t="s">
        <v>36</v>
      </c>
      <c r="M61" s="111"/>
    </row>
    <row r="62" ht="16.7" customHeight="1" spans="1:13">
      <c r="A62" s="98"/>
      <c r="B62" s="4" t="s">
        <v>5</v>
      </c>
      <c r="C62" s="5">
        <v>30</v>
      </c>
      <c r="D62" s="6">
        <v>30300</v>
      </c>
      <c r="E62" s="98"/>
      <c r="F62" s="4" t="s">
        <v>5</v>
      </c>
      <c r="G62" s="5">
        <v>30</v>
      </c>
      <c r="H62" s="6">
        <v>29500</v>
      </c>
      <c r="J62" s="4" t="s">
        <v>5</v>
      </c>
      <c r="K62" s="5">
        <v>30</v>
      </c>
      <c r="L62" s="6">
        <v>29500</v>
      </c>
      <c r="M62" s="98"/>
    </row>
    <row r="63" ht="16.5" customHeight="1" spans="1:13">
      <c r="A63" s="98"/>
      <c r="B63" s="7"/>
      <c r="C63" s="8"/>
      <c r="D63" s="9"/>
      <c r="E63" s="98"/>
      <c r="F63" s="7"/>
      <c r="G63" s="8"/>
      <c r="H63" s="9"/>
      <c r="J63" s="7"/>
      <c r="K63" s="8"/>
      <c r="L63" s="9"/>
      <c r="M63" s="98"/>
    </row>
    <row r="64" ht="16.5" customHeight="1" spans="1:13">
      <c r="A64" s="98"/>
      <c r="B64" s="7"/>
      <c r="C64" s="8"/>
      <c r="D64" s="9"/>
      <c r="E64" s="98"/>
      <c r="F64" s="7"/>
      <c r="G64" s="8"/>
      <c r="H64" s="9"/>
      <c r="J64" s="7"/>
      <c r="K64" s="8"/>
      <c r="L64" s="9"/>
      <c r="M64" s="98"/>
    </row>
    <row r="65" ht="16.7" customHeight="1" spans="1:13">
      <c r="A65" s="98"/>
      <c r="B65" s="10" t="s">
        <v>6</v>
      </c>
      <c r="C65" s="11"/>
      <c r="D65" s="12"/>
      <c r="E65" s="98"/>
      <c r="F65" s="10" t="s">
        <v>6</v>
      </c>
      <c r="G65" s="11"/>
      <c r="H65" s="12">
        <v>-983</v>
      </c>
      <c r="J65" s="10" t="s">
        <v>37</v>
      </c>
      <c r="K65" s="11"/>
      <c r="L65" s="12"/>
      <c r="M65" s="98"/>
    </row>
    <row r="66" ht="16.7" customHeight="1" spans="1:13">
      <c r="A66" s="98"/>
      <c r="B66" s="13" t="s">
        <v>7</v>
      </c>
      <c r="C66" s="14"/>
      <c r="D66" s="15">
        <f>SUM(D62:D65)</f>
        <v>30300</v>
      </c>
      <c r="E66" s="98"/>
      <c r="F66" s="13" t="s">
        <v>7</v>
      </c>
      <c r="G66" s="14"/>
      <c r="H66" s="15">
        <f>SUM(H62:H65)</f>
        <v>28517</v>
      </c>
      <c r="J66" s="13" t="s">
        <v>7</v>
      </c>
      <c r="K66" s="14"/>
      <c r="L66" s="15">
        <f>SUM(L62:L65)</f>
        <v>29500</v>
      </c>
      <c r="M66" s="98"/>
    </row>
    <row r="67" ht="16.7" customHeight="1" spans="1:13">
      <c r="A67" s="98"/>
      <c r="B67" s="16" t="s">
        <v>8</v>
      </c>
      <c r="C67" s="17"/>
      <c r="D67" s="18">
        <v>110</v>
      </c>
      <c r="E67" s="98"/>
      <c r="F67" s="16" t="s">
        <v>8</v>
      </c>
      <c r="G67" s="17"/>
      <c r="H67" s="18">
        <v>110</v>
      </c>
      <c r="J67" s="4" t="s">
        <v>5</v>
      </c>
      <c r="K67" s="17">
        <v>30</v>
      </c>
      <c r="L67" s="18">
        <v>6500</v>
      </c>
      <c r="M67" s="98"/>
    </row>
    <row r="68" ht="16.7" customHeight="1" spans="1:13">
      <c r="A68" s="98"/>
      <c r="B68" s="7" t="s">
        <v>9</v>
      </c>
      <c r="C68" s="19"/>
      <c r="D68" s="9">
        <v>337</v>
      </c>
      <c r="E68" s="98"/>
      <c r="F68" s="7" t="s">
        <v>9</v>
      </c>
      <c r="G68" s="19"/>
      <c r="H68" s="9">
        <v>40</v>
      </c>
      <c r="J68" s="113"/>
      <c r="K68" s="8"/>
      <c r="L68" s="9"/>
      <c r="M68" s="98"/>
    </row>
    <row r="69" ht="16.7" customHeight="1" spans="1:13">
      <c r="A69" s="98"/>
      <c r="B69" s="7" t="s">
        <v>10</v>
      </c>
      <c r="C69" s="8"/>
      <c r="D69" s="9">
        <v>172</v>
      </c>
      <c r="E69" s="98"/>
      <c r="F69" s="7" t="s">
        <v>10</v>
      </c>
      <c r="G69" s="8"/>
      <c r="H69" s="9">
        <v>5</v>
      </c>
      <c r="J69" s="7"/>
      <c r="K69" s="8"/>
      <c r="L69" s="9"/>
      <c r="M69" s="98"/>
    </row>
    <row r="70" ht="16.7" customHeight="1" spans="1:13">
      <c r="A70" s="98"/>
      <c r="B70" s="7"/>
      <c r="C70" s="19"/>
      <c r="D70" s="9"/>
      <c r="E70" s="98"/>
      <c r="F70" s="7"/>
      <c r="G70" s="19"/>
      <c r="H70" s="9"/>
      <c r="J70" s="114"/>
      <c r="K70" s="19"/>
      <c r="L70" s="9"/>
      <c r="M70" s="98"/>
    </row>
    <row r="71" ht="16.7" customHeight="1" spans="1:13">
      <c r="A71" s="98"/>
      <c r="B71" s="20"/>
      <c r="C71" s="21"/>
      <c r="D71" s="22"/>
      <c r="E71" s="98"/>
      <c r="F71" s="20"/>
      <c r="G71" s="21"/>
      <c r="H71" s="22"/>
      <c r="J71" s="20"/>
      <c r="K71" s="21"/>
      <c r="L71" s="22"/>
      <c r="M71" s="98"/>
    </row>
    <row r="72" ht="16.7" customHeight="1" spans="1:13">
      <c r="A72" s="98"/>
      <c r="B72" s="23" t="s">
        <v>11</v>
      </c>
      <c r="C72" s="24"/>
      <c r="D72" s="25">
        <f>SUM(D67:D71)</f>
        <v>619</v>
      </c>
      <c r="E72" s="98"/>
      <c r="F72" s="23" t="s">
        <v>11</v>
      </c>
      <c r="G72" s="24"/>
      <c r="H72" s="25">
        <f>SUM(H67:H71)</f>
        <v>155</v>
      </c>
      <c r="J72" s="23"/>
      <c r="K72" s="24"/>
      <c r="L72" s="25"/>
      <c r="M72" s="98"/>
    </row>
    <row r="73" ht="16.7" customHeight="1" spans="1:13">
      <c r="A73" s="98"/>
      <c r="B73" s="7" t="s">
        <v>12</v>
      </c>
      <c r="C73" s="19">
        <v>21</v>
      </c>
      <c r="D73" s="26"/>
      <c r="E73" s="98"/>
      <c r="F73" s="7" t="s">
        <v>12</v>
      </c>
      <c r="G73" s="19">
        <v>20</v>
      </c>
      <c r="H73" s="26"/>
      <c r="J73" s="7"/>
      <c r="K73" s="19"/>
      <c r="L73" s="26"/>
      <c r="M73" s="98"/>
    </row>
    <row r="74" ht="16.7" customHeight="1" spans="1:13">
      <c r="A74" s="98"/>
      <c r="B74" s="27" t="s">
        <v>13</v>
      </c>
      <c r="C74" s="11"/>
      <c r="D74" s="28">
        <f>D72*C73</f>
        <v>12999</v>
      </c>
      <c r="E74" s="98"/>
      <c r="F74" s="27" t="s">
        <v>13</v>
      </c>
      <c r="G74" s="11"/>
      <c r="H74" s="28">
        <f>H72*G73</f>
        <v>3100</v>
      </c>
      <c r="J74" s="27" t="s">
        <v>13</v>
      </c>
      <c r="K74" s="11"/>
      <c r="L74" s="28">
        <f>SUM(L67:L73)</f>
        <v>6500</v>
      </c>
      <c r="M74" s="98"/>
    </row>
    <row r="75" ht="16.7" customHeight="1" spans="1:13">
      <c r="A75" s="98"/>
      <c r="B75" s="29" t="s">
        <v>14</v>
      </c>
      <c r="C75" s="30"/>
      <c r="D75" s="31">
        <f>D62*0.06</f>
        <v>1818</v>
      </c>
      <c r="E75" s="98"/>
      <c r="F75" s="29" t="s">
        <v>14</v>
      </c>
      <c r="G75" s="30"/>
      <c r="H75" s="31">
        <f>H62*0.06</f>
        <v>1770</v>
      </c>
      <c r="J75" s="29" t="s">
        <v>14</v>
      </c>
      <c r="K75" s="30"/>
      <c r="L75" s="31">
        <f>L62*0.06</f>
        <v>1770</v>
      </c>
      <c r="M75" s="98"/>
    </row>
    <row r="76" ht="16.7" customHeight="1" spans="1:13">
      <c r="A76" s="98"/>
      <c r="B76" s="7"/>
      <c r="C76" s="32"/>
      <c r="D76" s="9"/>
      <c r="E76" s="98"/>
      <c r="F76" s="7" t="s">
        <v>38</v>
      </c>
      <c r="G76" s="32"/>
      <c r="H76" s="9">
        <v>1000</v>
      </c>
      <c r="J76" s="7"/>
      <c r="K76" s="32"/>
      <c r="L76" s="9"/>
      <c r="M76" s="98"/>
    </row>
    <row r="77" ht="16.7" customHeight="1" spans="1:13">
      <c r="A77" s="98"/>
      <c r="B77" s="7"/>
      <c r="C77" s="32"/>
      <c r="D77" s="9"/>
      <c r="E77" s="98"/>
      <c r="F77" s="7"/>
      <c r="G77" s="32"/>
      <c r="H77" s="9"/>
      <c r="J77" s="7"/>
      <c r="K77" s="32"/>
      <c r="L77" s="9"/>
      <c r="M77" s="98"/>
    </row>
    <row r="78" ht="16.7" customHeight="1" spans="1:13">
      <c r="A78" s="98"/>
      <c r="B78" s="104"/>
      <c r="C78" s="17"/>
      <c r="D78" s="18"/>
      <c r="E78" s="98"/>
      <c r="F78" s="7"/>
      <c r="G78" s="21"/>
      <c r="H78" s="22"/>
      <c r="J78" s="7"/>
      <c r="K78" s="21"/>
      <c r="L78" s="22"/>
      <c r="M78" s="98"/>
    </row>
    <row r="79" ht="16.7" customHeight="1" spans="1:13">
      <c r="A79" s="98"/>
      <c r="B79" s="33" t="s">
        <v>18</v>
      </c>
      <c r="C79" s="34"/>
      <c r="D79" s="35">
        <f>D66+D74+D75+D76+D77+D78</f>
        <v>45117</v>
      </c>
      <c r="E79" s="98"/>
      <c r="F79" s="33" t="s">
        <v>18</v>
      </c>
      <c r="G79" s="34"/>
      <c r="H79" s="35">
        <f>H66+H74+H75+H76+H77+H78</f>
        <v>34387</v>
      </c>
      <c r="J79" s="33" t="s">
        <v>18</v>
      </c>
      <c r="K79" s="34"/>
      <c r="L79" s="35">
        <f>L66+L74+L75+L76+L77+L78</f>
        <v>37770</v>
      </c>
      <c r="M79" s="98"/>
    </row>
    <row r="80" ht="16.7" customHeight="1" spans="1:13">
      <c r="A80" s="98"/>
      <c r="B80" s="29" t="s">
        <v>19</v>
      </c>
      <c r="C80" s="30"/>
      <c r="D80" s="36"/>
      <c r="E80" s="98"/>
      <c r="F80" s="29" t="s">
        <v>19</v>
      </c>
      <c r="G80" s="30"/>
      <c r="H80" s="36">
        <v>738</v>
      </c>
      <c r="J80" s="29" t="s">
        <v>19</v>
      </c>
      <c r="K80" s="30"/>
      <c r="L80" s="36">
        <v>738</v>
      </c>
      <c r="M80" s="98"/>
    </row>
    <row r="81" ht="16.7" customHeight="1" spans="1:13">
      <c r="A81" s="98"/>
      <c r="B81" s="7" t="s">
        <v>20</v>
      </c>
      <c r="C81" s="8"/>
      <c r="D81" s="9"/>
      <c r="E81" s="98"/>
      <c r="F81" s="7" t="s">
        <v>20</v>
      </c>
      <c r="G81" s="8"/>
      <c r="H81" s="9">
        <v>458</v>
      </c>
      <c r="J81" s="7" t="s">
        <v>20</v>
      </c>
      <c r="K81" s="8"/>
      <c r="L81" s="9">
        <v>916</v>
      </c>
      <c r="M81" s="98"/>
    </row>
    <row r="82" ht="16.7" customHeight="1" spans="1:13">
      <c r="A82" s="98"/>
      <c r="B82" s="7"/>
      <c r="C82" s="8"/>
      <c r="D82" s="9"/>
      <c r="E82" s="98"/>
      <c r="F82" s="7"/>
      <c r="G82" s="8"/>
      <c r="H82" s="9"/>
      <c r="J82" s="7"/>
      <c r="K82" s="8"/>
      <c r="L82" s="9"/>
      <c r="M82" s="98"/>
    </row>
    <row r="83" ht="16.7" customHeight="1" spans="1:13">
      <c r="A83" s="98"/>
      <c r="B83" s="7" t="s">
        <v>33</v>
      </c>
      <c r="C83" s="21"/>
      <c r="D83" s="22">
        <v>85</v>
      </c>
      <c r="E83" s="98"/>
      <c r="F83" s="7" t="s">
        <v>33</v>
      </c>
      <c r="G83" s="21"/>
      <c r="H83" s="22"/>
      <c r="J83" s="7" t="s">
        <v>33</v>
      </c>
      <c r="K83" s="21"/>
      <c r="L83" s="22"/>
      <c r="M83" s="98"/>
    </row>
    <row r="84" ht="16.7" customHeight="1" spans="1:13">
      <c r="A84" s="98"/>
      <c r="B84" s="37" t="s">
        <v>21</v>
      </c>
      <c r="C84" s="38"/>
      <c r="D84" s="39">
        <f>SUM(D80:D83)</f>
        <v>85</v>
      </c>
      <c r="E84" s="98"/>
      <c r="F84" s="37" t="s">
        <v>21</v>
      </c>
      <c r="G84" s="38"/>
      <c r="H84" s="39">
        <f>SUM(H80:H83)</f>
        <v>1196</v>
      </c>
      <c r="J84" s="37" t="s">
        <v>21</v>
      </c>
      <c r="K84" s="38"/>
      <c r="L84" s="39">
        <f>SUM(L80:L83)</f>
        <v>1654</v>
      </c>
      <c r="M84" s="98"/>
    </row>
    <row r="85" s="91" customFormat="1" ht="16.7" customHeight="1" spans="1:13">
      <c r="A85" s="102"/>
      <c r="B85" s="40" t="s">
        <v>22</v>
      </c>
      <c r="C85" s="41"/>
      <c r="D85" s="42">
        <f>D66</f>
        <v>30300</v>
      </c>
      <c r="E85" s="102"/>
      <c r="F85" s="40" t="s">
        <v>22</v>
      </c>
      <c r="G85" s="41"/>
      <c r="H85" s="42">
        <f>H79-H84-H87</f>
        <v>31421</v>
      </c>
      <c r="I85" s="108"/>
      <c r="J85" s="40" t="s">
        <v>22</v>
      </c>
      <c r="K85" s="41"/>
      <c r="L85" s="42">
        <f>L79-L84-L87</f>
        <v>34346</v>
      </c>
      <c r="M85" s="102"/>
    </row>
    <row r="86" s="92" customFormat="1" ht="16.7" customHeight="1" spans="1:13">
      <c r="A86" s="103"/>
      <c r="B86" s="43" t="s">
        <v>24</v>
      </c>
      <c r="C86" s="44"/>
      <c r="D86" s="45">
        <f>D79-D84-D85-D87</f>
        <v>12914</v>
      </c>
      <c r="E86" s="103"/>
      <c r="F86" s="43" t="s">
        <v>24</v>
      </c>
      <c r="G86" s="44"/>
      <c r="H86" s="45">
        <f>H79-H84-H85-H87</f>
        <v>0</v>
      </c>
      <c r="I86" s="109"/>
      <c r="J86" s="43"/>
      <c r="K86" s="44"/>
      <c r="L86" s="45">
        <f>L79-L84-L85-L87</f>
        <v>0</v>
      </c>
      <c r="M86" s="103"/>
    </row>
    <row r="87" ht="16.7" customHeight="1" spans="1:13">
      <c r="A87" s="98"/>
      <c r="B87" s="46" t="s">
        <v>25</v>
      </c>
      <c r="C87" s="47"/>
      <c r="D87" s="48">
        <f>D75</f>
        <v>1818</v>
      </c>
      <c r="E87" s="98"/>
      <c r="F87" s="46" t="s">
        <v>25</v>
      </c>
      <c r="G87" s="47"/>
      <c r="H87" s="48">
        <f>H75</f>
        <v>1770</v>
      </c>
      <c r="J87" s="46" t="s">
        <v>25</v>
      </c>
      <c r="K87" s="47"/>
      <c r="L87" s="48">
        <f>L75</f>
        <v>1770</v>
      </c>
      <c r="M87" s="98"/>
    </row>
    <row r="88" ht="16.7" customHeight="1" spans="1:15">
      <c r="A88" s="98"/>
      <c r="B88" s="62"/>
      <c r="C88" s="62"/>
      <c r="D88" s="98"/>
      <c r="E88" s="98"/>
      <c r="F88" s="62"/>
      <c r="G88" s="62"/>
      <c r="H88" s="98"/>
      <c r="J88" s="62"/>
      <c r="K88" s="62"/>
      <c r="L88" s="98"/>
      <c r="M88" s="98"/>
      <c r="O88" s="112">
        <f>D88+H88+L88</f>
        <v>0</v>
      </c>
    </row>
    <row r="89" s="90" customFormat="1" ht="16.7" customHeight="1" spans="1:13">
      <c r="A89" s="1"/>
      <c r="B89" s="1" t="s">
        <v>0</v>
      </c>
      <c r="C89" s="1"/>
      <c r="D89" s="1"/>
      <c r="E89" s="1"/>
      <c r="F89" s="1" t="s">
        <v>0</v>
      </c>
      <c r="G89" s="1"/>
      <c r="H89" s="1"/>
      <c r="J89" s="1" t="s">
        <v>0</v>
      </c>
      <c r="K89" s="1"/>
      <c r="L89" s="1"/>
      <c r="M89" s="110"/>
    </row>
    <row r="90" ht="16.7" customHeight="1" spans="1:13">
      <c r="A90" s="97"/>
      <c r="B90" s="2" t="s">
        <v>2</v>
      </c>
      <c r="C90" s="2"/>
      <c r="D90" s="3" t="s">
        <v>39</v>
      </c>
      <c r="E90" s="97"/>
      <c r="F90" s="2" t="s">
        <v>2</v>
      </c>
      <c r="G90" s="2"/>
      <c r="H90" s="3" t="s">
        <v>40</v>
      </c>
      <c r="J90" s="2" t="s">
        <v>2</v>
      </c>
      <c r="K90" s="2"/>
      <c r="L90" s="3" t="s">
        <v>41</v>
      </c>
      <c r="M90" s="111"/>
    </row>
    <row r="91" ht="16.7" customHeight="1" spans="1:13">
      <c r="A91" s="98"/>
      <c r="B91" s="4" t="s">
        <v>5</v>
      </c>
      <c r="C91" s="5">
        <v>30</v>
      </c>
      <c r="D91" s="6">
        <v>30300</v>
      </c>
      <c r="E91" s="98"/>
      <c r="F91" s="4" t="s">
        <v>5</v>
      </c>
      <c r="G91" s="5">
        <v>30</v>
      </c>
      <c r="H91" s="6">
        <v>30300</v>
      </c>
      <c r="J91" s="4" t="s">
        <v>5</v>
      </c>
      <c r="K91" s="5">
        <v>30</v>
      </c>
      <c r="L91" s="6">
        <v>30300</v>
      </c>
      <c r="M91" s="98"/>
    </row>
    <row r="92" ht="16.5" customHeight="1" spans="1:13">
      <c r="A92" s="98"/>
      <c r="B92" s="7"/>
      <c r="C92" s="8"/>
      <c r="D92" s="9"/>
      <c r="E92" s="98"/>
      <c r="F92" s="7"/>
      <c r="G92" s="8"/>
      <c r="H92" s="9"/>
      <c r="J92" s="7"/>
      <c r="K92" s="8"/>
      <c r="L92" s="9"/>
      <c r="M92" s="98"/>
    </row>
    <row r="93" ht="16.7" customHeight="1" spans="1:13">
      <c r="A93" s="98"/>
      <c r="B93" s="7"/>
      <c r="C93" s="8"/>
      <c r="D93" s="9"/>
      <c r="E93" s="98"/>
      <c r="F93" s="7"/>
      <c r="G93" s="8"/>
      <c r="H93" s="9"/>
      <c r="J93" s="7"/>
      <c r="K93" s="8"/>
      <c r="L93" s="9"/>
      <c r="M93" s="98"/>
    </row>
    <row r="94" ht="16.7" customHeight="1" spans="1:13">
      <c r="A94" s="98"/>
      <c r="B94" s="10" t="s">
        <v>6</v>
      </c>
      <c r="C94" s="11"/>
      <c r="D94" s="12"/>
      <c r="E94" s="98"/>
      <c r="F94" s="10" t="s">
        <v>6</v>
      </c>
      <c r="G94" s="11"/>
      <c r="H94" s="12">
        <v>-1262</v>
      </c>
      <c r="J94" s="10" t="s">
        <v>6</v>
      </c>
      <c r="K94" s="11"/>
      <c r="L94" s="12"/>
      <c r="M94" s="98"/>
    </row>
    <row r="95" ht="16.7" customHeight="1" spans="1:13">
      <c r="A95" s="98"/>
      <c r="B95" s="13" t="s">
        <v>7</v>
      </c>
      <c r="C95" s="14"/>
      <c r="D95" s="15">
        <f>SUM(D91:D94)</f>
        <v>30300</v>
      </c>
      <c r="E95" s="98"/>
      <c r="F95" s="13" t="s">
        <v>7</v>
      </c>
      <c r="G95" s="14"/>
      <c r="H95" s="15">
        <f>SUM(H91:H94)</f>
        <v>29038</v>
      </c>
      <c r="J95" s="13" t="s">
        <v>7</v>
      </c>
      <c r="K95" s="14"/>
      <c r="L95" s="15">
        <f>SUM(L91:L94)</f>
        <v>30300</v>
      </c>
      <c r="M95" s="98"/>
    </row>
    <row r="96" ht="16.7" customHeight="1" spans="1:13">
      <c r="A96" s="98"/>
      <c r="B96" s="16" t="s">
        <v>8</v>
      </c>
      <c r="C96" s="17"/>
      <c r="D96" s="18">
        <v>110</v>
      </c>
      <c r="E96" s="98"/>
      <c r="F96" s="16" t="s">
        <v>8</v>
      </c>
      <c r="G96" s="17"/>
      <c r="H96" s="18">
        <v>110</v>
      </c>
      <c r="J96" s="16" t="s">
        <v>8</v>
      </c>
      <c r="K96" s="17"/>
      <c r="L96" s="18">
        <v>110</v>
      </c>
      <c r="M96" s="98"/>
    </row>
    <row r="97" ht="16.7" customHeight="1" spans="1:13">
      <c r="A97" s="98"/>
      <c r="B97" s="7" t="s">
        <v>9</v>
      </c>
      <c r="C97" s="19"/>
      <c r="D97" s="9">
        <v>337</v>
      </c>
      <c r="E97" s="98"/>
      <c r="F97" s="7" t="s">
        <v>9</v>
      </c>
      <c r="G97" s="19"/>
      <c r="H97" s="9">
        <v>168</v>
      </c>
      <c r="J97" s="7" t="s">
        <v>9</v>
      </c>
      <c r="K97" s="19"/>
      <c r="L97" s="9">
        <v>168</v>
      </c>
      <c r="M97" s="98"/>
    </row>
    <row r="98" ht="16.7" customHeight="1" spans="1:13">
      <c r="A98" s="98"/>
      <c r="B98" s="7" t="s">
        <v>10</v>
      </c>
      <c r="C98" s="8"/>
      <c r="D98" s="9">
        <v>274</v>
      </c>
      <c r="E98" s="98"/>
      <c r="F98" s="7" t="s">
        <v>10</v>
      </c>
      <c r="G98" s="8"/>
      <c r="H98" s="9">
        <v>156</v>
      </c>
      <c r="J98" s="7" t="s">
        <v>10</v>
      </c>
      <c r="K98" s="8"/>
      <c r="L98" s="9">
        <v>156</v>
      </c>
      <c r="M98" s="98"/>
    </row>
    <row r="99" ht="16.7" customHeight="1" spans="1:13">
      <c r="A99" s="98"/>
      <c r="B99" s="7"/>
      <c r="C99" s="19"/>
      <c r="D99" s="9"/>
      <c r="E99" s="98"/>
      <c r="F99" s="7"/>
      <c r="G99" s="19"/>
      <c r="H99" s="9"/>
      <c r="J99" s="7"/>
      <c r="K99" s="19"/>
      <c r="L99" s="9"/>
      <c r="M99" s="98"/>
    </row>
    <row r="100" ht="16.7" customHeight="1" spans="1:13">
      <c r="A100" s="98"/>
      <c r="B100" s="20"/>
      <c r="C100" s="21"/>
      <c r="D100" s="22"/>
      <c r="E100" s="98"/>
      <c r="F100" s="20"/>
      <c r="G100" s="21"/>
      <c r="H100" s="22"/>
      <c r="J100" s="20"/>
      <c r="K100" s="21"/>
      <c r="L100" s="22"/>
      <c r="M100" s="98"/>
    </row>
    <row r="101" ht="16.7" customHeight="1" spans="1:13">
      <c r="A101" s="98"/>
      <c r="B101" s="23" t="s">
        <v>11</v>
      </c>
      <c r="C101" s="24"/>
      <c r="D101" s="25">
        <f>SUM(D96:D100)</f>
        <v>721</v>
      </c>
      <c r="E101" s="98"/>
      <c r="F101" s="23" t="s">
        <v>11</v>
      </c>
      <c r="G101" s="24"/>
      <c r="H101" s="25">
        <f>SUM(H96:H100)</f>
        <v>434</v>
      </c>
      <c r="J101" s="23" t="s">
        <v>11</v>
      </c>
      <c r="K101" s="24"/>
      <c r="L101" s="25">
        <f>SUM(L96:L100)</f>
        <v>434</v>
      </c>
      <c r="M101" s="98"/>
    </row>
    <row r="102" ht="16.7" customHeight="1" spans="1:13">
      <c r="A102" s="98"/>
      <c r="B102" s="7" t="s">
        <v>12</v>
      </c>
      <c r="C102" s="19">
        <v>22.5</v>
      </c>
      <c r="D102" s="26"/>
      <c r="E102" s="98"/>
      <c r="F102" s="7" t="s">
        <v>12</v>
      </c>
      <c r="G102" s="19">
        <v>21</v>
      </c>
      <c r="H102" s="26"/>
      <c r="J102" s="7" t="s">
        <v>12</v>
      </c>
      <c r="K102" s="19">
        <v>22.5</v>
      </c>
      <c r="L102" s="26"/>
      <c r="M102" s="98"/>
    </row>
    <row r="103" ht="16.7" customHeight="1" spans="1:13">
      <c r="A103" s="98"/>
      <c r="B103" s="27" t="s">
        <v>13</v>
      </c>
      <c r="C103" s="11"/>
      <c r="D103" s="28">
        <f>D101*C102</f>
        <v>16222.5</v>
      </c>
      <c r="E103" s="98"/>
      <c r="F103" s="27" t="s">
        <v>13</v>
      </c>
      <c r="G103" s="11"/>
      <c r="H103" s="28">
        <f>H101*G102</f>
        <v>9114</v>
      </c>
      <c r="J103" s="27" t="s">
        <v>13</v>
      </c>
      <c r="K103" s="11"/>
      <c r="L103" s="28">
        <f>L101*K102</f>
        <v>9765</v>
      </c>
      <c r="M103" s="98"/>
    </row>
    <row r="104" ht="16.7" customHeight="1" spans="1:13">
      <c r="A104" s="98"/>
      <c r="B104" s="29" t="s">
        <v>14</v>
      </c>
      <c r="C104" s="30"/>
      <c r="D104" s="31">
        <f>D91*0.06</f>
        <v>1818</v>
      </c>
      <c r="E104" s="98"/>
      <c r="F104" s="29" t="s">
        <v>14</v>
      </c>
      <c r="G104" s="30"/>
      <c r="H104" s="31">
        <f>H91*0.06</f>
        <v>1818</v>
      </c>
      <c r="J104" s="29" t="s">
        <v>14</v>
      </c>
      <c r="K104" s="30"/>
      <c r="L104" s="31">
        <f>L91*0.06</f>
        <v>1818</v>
      </c>
      <c r="M104" s="98"/>
    </row>
    <row r="105" ht="16.7" customHeight="1" spans="1:13">
      <c r="A105" s="98"/>
      <c r="B105" s="7"/>
      <c r="C105" s="21"/>
      <c r="D105" s="22"/>
      <c r="E105" s="98"/>
      <c r="F105" s="7" t="s">
        <v>38</v>
      </c>
      <c r="G105" s="32"/>
      <c r="H105" s="9">
        <v>1000</v>
      </c>
      <c r="J105" s="7" t="s">
        <v>38</v>
      </c>
      <c r="K105" s="32"/>
      <c r="L105" s="9">
        <v>1000</v>
      </c>
      <c r="M105" s="98"/>
    </row>
    <row r="106" ht="16.7" customHeight="1" spans="1:13">
      <c r="A106" s="98"/>
      <c r="B106" s="7"/>
      <c r="C106" s="32"/>
      <c r="D106" s="9"/>
      <c r="E106" s="98"/>
      <c r="F106" s="7"/>
      <c r="G106" s="32"/>
      <c r="H106" s="9"/>
      <c r="J106" s="7"/>
      <c r="K106" s="32"/>
      <c r="L106" s="9"/>
      <c r="M106" s="98"/>
    </row>
    <row r="107" ht="16.7" customHeight="1" spans="1:13">
      <c r="A107" s="98"/>
      <c r="B107" s="7" t="s">
        <v>9</v>
      </c>
      <c r="C107" s="21"/>
      <c r="D107" s="22">
        <v>4293</v>
      </c>
      <c r="E107" s="98"/>
      <c r="F107" s="7" t="s">
        <v>9</v>
      </c>
      <c r="G107" s="21"/>
      <c r="H107" s="22">
        <v>1095</v>
      </c>
      <c r="J107" s="7" t="s">
        <v>9</v>
      </c>
      <c r="K107" s="21"/>
      <c r="L107" s="22">
        <v>4083</v>
      </c>
      <c r="M107" s="98"/>
    </row>
    <row r="108" ht="16.7" customHeight="1" spans="1:13">
      <c r="A108" s="98"/>
      <c r="B108" s="33" t="s">
        <v>18</v>
      </c>
      <c r="C108" s="34"/>
      <c r="D108" s="35">
        <f>D95+D103+D104+D105+D106+D107</f>
        <v>52633.5</v>
      </c>
      <c r="E108" s="98"/>
      <c r="F108" s="33" t="s">
        <v>18</v>
      </c>
      <c r="G108" s="34"/>
      <c r="H108" s="35">
        <f>H95+H103+H104+H105+H106+H107</f>
        <v>42065</v>
      </c>
      <c r="J108" s="33" t="s">
        <v>18</v>
      </c>
      <c r="K108" s="34"/>
      <c r="L108" s="35">
        <f>L95+L103+L104+L105+L106+L107</f>
        <v>46966</v>
      </c>
      <c r="M108" s="98"/>
    </row>
    <row r="109" ht="16.7" customHeight="1" spans="1:13">
      <c r="A109" s="98"/>
      <c r="B109" s="29" t="s">
        <v>19</v>
      </c>
      <c r="C109" s="30"/>
      <c r="D109" s="36">
        <v>758</v>
      </c>
      <c r="E109" s="98"/>
      <c r="F109" s="29" t="s">
        <v>19</v>
      </c>
      <c r="G109" s="30"/>
      <c r="H109" s="36">
        <v>758</v>
      </c>
      <c r="J109" s="29" t="s">
        <v>19</v>
      </c>
      <c r="K109" s="30"/>
      <c r="L109" s="36">
        <v>758</v>
      </c>
      <c r="M109" s="98"/>
    </row>
    <row r="110" ht="16.7" customHeight="1" spans="1:13">
      <c r="A110" s="98"/>
      <c r="B110" s="7" t="s">
        <v>20</v>
      </c>
      <c r="C110" s="8"/>
      <c r="D110" s="9">
        <v>940</v>
      </c>
      <c r="E110" s="98"/>
      <c r="F110" s="7" t="s">
        <v>20</v>
      </c>
      <c r="G110" s="8"/>
      <c r="H110" s="9">
        <v>470</v>
      </c>
      <c r="J110" s="7" t="s">
        <v>20</v>
      </c>
      <c r="K110" s="8"/>
      <c r="L110" s="9">
        <v>470</v>
      </c>
      <c r="M110" s="98"/>
    </row>
    <row r="111" ht="16.7" customHeight="1" spans="1:13">
      <c r="A111" s="98"/>
      <c r="B111" s="7"/>
      <c r="C111" s="8"/>
      <c r="D111" s="9"/>
      <c r="E111" s="98"/>
      <c r="F111" s="7"/>
      <c r="G111" s="8"/>
      <c r="H111" s="9"/>
      <c r="J111" s="7"/>
      <c r="K111" s="8"/>
      <c r="L111" s="9"/>
      <c r="M111" s="98"/>
    </row>
    <row r="112" ht="16.7" customHeight="1" spans="1:13">
      <c r="A112" s="98"/>
      <c r="B112" s="7" t="s">
        <v>33</v>
      </c>
      <c r="C112" s="21"/>
      <c r="D112" s="22"/>
      <c r="E112" s="98"/>
      <c r="F112" s="7" t="s">
        <v>33</v>
      </c>
      <c r="G112" s="21"/>
      <c r="H112" s="22">
        <v>860</v>
      </c>
      <c r="J112" s="7" t="s">
        <v>33</v>
      </c>
      <c r="K112" s="21"/>
      <c r="L112" s="22"/>
      <c r="M112" s="98"/>
    </row>
    <row r="113" ht="16.7" customHeight="1" spans="1:13">
      <c r="A113" s="98"/>
      <c r="B113" s="37" t="s">
        <v>21</v>
      </c>
      <c r="C113" s="38"/>
      <c r="D113" s="39">
        <f>SUM(D109:D112)</f>
        <v>1698</v>
      </c>
      <c r="E113" s="98"/>
      <c r="F113" s="37" t="s">
        <v>21</v>
      </c>
      <c r="G113" s="38"/>
      <c r="H113" s="39">
        <f>SUM(H109:H112)</f>
        <v>2088</v>
      </c>
      <c r="J113" s="37" t="s">
        <v>21</v>
      </c>
      <c r="K113" s="38"/>
      <c r="L113" s="39">
        <f>SUM(L109:L112)</f>
        <v>1228</v>
      </c>
      <c r="M113" s="98"/>
    </row>
    <row r="114" s="91" customFormat="1" ht="16.7" customHeight="1" spans="1:13">
      <c r="A114" s="102"/>
      <c r="B114" s="40" t="s">
        <v>22</v>
      </c>
      <c r="C114" s="41"/>
      <c r="D114" s="42">
        <f>D95</f>
        <v>30300</v>
      </c>
      <c r="E114" s="102"/>
      <c r="F114" s="40" t="s">
        <v>22</v>
      </c>
      <c r="G114" s="41"/>
      <c r="H114" s="42">
        <f>H95</f>
        <v>29038</v>
      </c>
      <c r="I114" s="108"/>
      <c r="J114" s="40" t="s">
        <v>22</v>
      </c>
      <c r="K114" s="41"/>
      <c r="L114" s="42">
        <f>L95</f>
        <v>30300</v>
      </c>
      <c r="M114" s="102"/>
    </row>
    <row r="115" s="92" customFormat="1" ht="16.7" customHeight="1" spans="1:13">
      <c r="A115" s="103"/>
      <c r="B115" s="43" t="s">
        <v>24</v>
      </c>
      <c r="C115" s="44"/>
      <c r="D115" s="45">
        <f>D108-D113-D114-D116</f>
        <v>18817.5</v>
      </c>
      <c r="E115" s="103"/>
      <c r="F115" s="43" t="s">
        <v>24</v>
      </c>
      <c r="G115" s="44"/>
      <c r="H115" s="45">
        <f>H108-H113-H114-H116</f>
        <v>9121</v>
      </c>
      <c r="I115" s="109"/>
      <c r="J115" s="43" t="s">
        <v>24</v>
      </c>
      <c r="K115" s="44"/>
      <c r="L115" s="45">
        <f>L108-L113-L114-L116</f>
        <v>13620</v>
      </c>
      <c r="M115" s="103"/>
    </row>
    <row r="116" ht="16.7" customHeight="1" spans="1:13">
      <c r="A116" s="98"/>
      <c r="B116" s="46" t="s">
        <v>25</v>
      </c>
      <c r="C116" s="47"/>
      <c r="D116" s="48">
        <f>D104</f>
        <v>1818</v>
      </c>
      <c r="E116" s="98"/>
      <c r="F116" s="46" t="s">
        <v>25</v>
      </c>
      <c r="G116" s="47"/>
      <c r="H116" s="48">
        <f>H104</f>
        <v>1818</v>
      </c>
      <c r="J116" s="46" t="s">
        <v>25</v>
      </c>
      <c r="K116" s="47"/>
      <c r="L116" s="48">
        <f>L104</f>
        <v>1818</v>
      </c>
      <c r="M116" s="98"/>
    </row>
    <row r="117" ht="16.7" customHeight="1" spans="1:15">
      <c r="A117" s="98"/>
      <c r="B117" s="62"/>
      <c r="C117" s="62"/>
      <c r="D117" s="98"/>
      <c r="E117" s="98"/>
      <c r="F117" s="62"/>
      <c r="G117" s="62"/>
      <c r="H117" s="98"/>
      <c r="J117" s="62"/>
      <c r="K117" s="62"/>
      <c r="L117" s="98"/>
      <c r="M117" s="98"/>
      <c r="O117" s="112">
        <f>D117+H117+L117</f>
        <v>0</v>
      </c>
    </row>
    <row r="118" s="90" customFormat="1" ht="16.7" customHeight="1" spans="1:13">
      <c r="A118" s="1"/>
      <c r="B118" s="1" t="s">
        <v>0</v>
      </c>
      <c r="C118" s="1"/>
      <c r="D118" s="1"/>
      <c r="E118" s="1"/>
      <c r="F118" s="1" t="s">
        <v>0</v>
      </c>
      <c r="G118" s="1"/>
      <c r="H118" s="1"/>
      <c r="J118" s="1" t="s">
        <v>0</v>
      </c>
      <c r="K118" s="1"/>
      <c r="L118" s="1"/>
      <c r="M118" s="110"/>
    </row>
    <row r="119" ht="16.7" customHeight="1" spans="1:13">
      <c r="A119" s="97"/>
      <c r="B119" s="2" t="s">
        <v>2</v>
      </c>
      <c r="C119" s="2"/>
      <c r="D119" s="3" t="s">
        <v>42</v>
      </c>
      <c r="E119" s="97"/>
      <c r="F119" s="2" t="s">
        <v>2</v>
      </c>
      <c r="G119" s="2"/>
      <c r="H119" s="3" t="s">
        <v>43</v>
      </c>
      <c r="J119" s="2" t="s">
        <v>2</v>
      </c>
      <c r="K119" s="2"/>
      <c r="L119" s="3" t="s">
        <v>44</v>
      </c>
      <c r="M119" s="111"/>
    </row>
    <row r="120" ht="16.7" customHeight="1" spans="1:13">
      <c r="A120" s="98"/>
      <c r="B120" s="4" t="s">
        <v>5</v>
      </c>
      <c r="C120" s="5">
        <v>30</v>
      </c>
      <c r="D120" s="6">
        <v>30300</v>
      </c>
      <c r="E120" s="98"/>
      <c r="F120" s="4" t="s">
        <v>5</v>
      </c>
      <c r="G120" s="5">
        <v>30</v>
      </c>
      <c r="H120" s="6">
        <v>29500</v>
      </c>
      <c r="J120" s="4" t="s">
        <v>5</v>
      </c>
      <c r="K120" s="5">
        <v>30</v>
      </c>
      <c r="L120" s="6">
        <v>29500</v>
      </c>
      <c r="M120" s="98"/>
    </row>
    <row r="121" ht="16.5" customHeight="1" spans="1:13">
      <c r="A121" s="98"/>
      <c r="B121" s="7"/>
      <c r="C121" s="8"/>
      <c r="D121" s="9"/>
      <c r="E121" s="98"/>
      <c r="F121" s="7" t="s">
        <v>29</v>
      </c>
      <c r="G121" s="8">
        <v>3</v>
      </c>
      <c r="H121" s="9">
        <v>2950</v>
      </c>
      <c r="J121" s="7"/>
      <c r="K121" s="8"/>
      <c r="L121" s="9"/>
      <c r="M121" s="98"/>
    </row>
    <row r="122" ht="16.7" customHeight="1" spans="1:13">
      <c r="A122" s="98"/>
      <c r="B122" s="7"/>
      <c r="C122" s="8"/>
      <c r="D122" s="9"/>
      <c r="E122" s="98"/>
      <c r="F122" s="7"/>
      <c r="G122" s="8"/>
      <c r="H122" s="9"/>
      <c r="J122" s="7"/>
      <c r="K122" s="8"/>
      <c r="L122" s="9"/>
      <c r="M122" s="98"/>
    </row>
    <row r="123" ht="16.7" customHeight="1" spans="1:13">
      <c r="A123" s="98"/>
      <c r="B123" s="10" t="s">
        <v>6</v>
      </c>
      <c r="C123" s="11"/>
      <c r="D123" s="12"/>
      <c r="E123" s="98"/>
      <c r="F123" s="10" t="s">
        <v>6</v>
      </c>
      <c r="G123" s="11"/>
      <c r="H123" s="12"/>
      <c r="J123" s="10" t="s">
        <v>37</v>
      </c>
      <c r="K123" s="11"/>
      <c r="L123" s="12"/>
      <c r="M123" s="98"/>
    </row>
    <row r="124" ht="16.7" customHeight="1" spans="1:13">
      <c r="A124" s="98"/>
      <c r="B124" s="13" t="s">
        <v>7</v>
      </c>
      <c r="C124" s="14"/>
      <c r="D124" s="15">
        <f>SUM(D120:D123)</f>
        <v>30300</v>
      </c>
      <c r="E124" s="98"/>
      <c r="F124" s="13" t="s">
        <v>7</v>
      </c>
      <c r="G124" s="14"/>
      <c r="H124" s="15">
        <f>SUM(H120:H123)</f>
        <v>32450</v>
      </c>
      <c r="J124" s="13" t="s">
        <v>7</v>
      </c>
      <c r="K124" s="14"/>
      <c r="L124" s="15">
        <f>SUM(L120:L123)</f>
        <v>29500</v>
      </c>
      <c r="M124" s="98"/>
    </row>
    <row r="125" ht="16.7" customHeight="1" spans="1:13">
      <c r="A125" s="98"/>
      <c r="B125" s="16" t="s">
        <v>8</v>
      </c>
      <c r="C125" s="17"/>
      <c r="D125" s="18">
        <v>110</v>
      </c>
      <c r="E125" s="98"/>
      <c r="F125" s="16" t="s">
        <v>8</v>
      </c>
      <c r="G125" s="17"/>
      <c r="H125" s="18">
        <v>110</v>
      </c>
      <c r="J125" s="16" t="s">
        <v>8</v>
      </c>
      <c r="K125" s="17"/>
      <c r="L125" s="18">
        <v>110</v>
      </c>
      <c r="M125" s="98"/>
    </row>
    <row r="126" ht="16.7" customHeight="1" spans="1:13">
      <c r="A126" s="98"/>
      <c r="B126" s="7" t="s">
        <v>9</v>
      </c>
      <c r="C126" s="19"/>
      <c r="D126" s="9">
        <v>84</v>
      </c>
      <c r="E126" s="98"/>
      <c r="F126" s="7" t="s">
        <v>9</v>
      </c>
      <c r="G126" s="19"/>
      <c r="H126" s="9">
        <v>82</v>
      </c>
      <c r="J126" s="7" t="s">
        <v>9</v>
      </c>
      <c r="K126" s="19"/>
      <c r="L126" s="9"/>
      <c r="M126" s="98"/>
    </row>
    <row r="127" ht="16.7" customHeight="1" spans="1:13">
      <c r="A127" s="98"/>
      <c r="B127" s="7" t="s">
        <v>10</v>
      </c>
      <c r="C127" s="8"/>
      <c r="D127" s="9">
        <v>77</v>
      </c>
      <c r="E127" s="98"/>
      <c r="F127" s="7" t="s">
        <v>10</v>
      </c>
      <c r="G127" s="8"/>
      <c r="H127" s="9">
        <v>29</v>
      </c>
      <c r="J127" s="7" t="s">
        <v>10</v>
      </c>
      <c r="K127" s="8"/>
      <c r="L127" s="9">
        <v>45</v>
      </c>
      <c r="M127" s="98"/>
    </row>
    <row r="128" ht="16.7" customHeight="1" spans="1:13">
      <c r="A128" s="98"/>
      <c r="B128" s="7"/>
      <c r="C128" s="19"/>
      <c r="D128" s="9"/>
      <c r="E128" s="98"/>
      <c r="F128" s="7"/>
      <c r="G128" s="19"/>
      <c r="H128" s="9"/>
      <c r="J128" s="7"/>
      <c r="K128" s="19"/>
      <c r="L128" s="9"/>
      <c r="M128" s="98"/>
    </row>
    <row r="129" ht="16.7" customHeight="1" spans="1:13">
      <c r="A129" s="98"/>
      <c r="B129" s="20"/>
      <c r="C129" s="21"/>
      <c r="D129" s="22"/>
      <c r="E129" s="98"/>
      <c r="F129" s="20"/>
      <c r="G129" s="21"/>
      <c r="H129" s="22"/>
      <c r="J129" s="20"/>
      <c r="K129" s="21"/>
      <c r="L129" s="22"/>
      <c r="M129" s="98"/>
    </row>
    <row r="130" ht="16.7" customHeight="1" spans="1:13">
      <c r="A130" s="98"/>
      <c r="B130" s="23" t="s">
        <v>11</v>
      </c>
      <c r="C130" s="24"/>
      <c r="D130" s="25">
        <f>SUM(D125:D129)</f>
        <v>271</v>
      </c>
      <c r="E130" s="98"/>
      <c r="F130" s="23" t="s">
        <v>11</v>
      </c>
      <c r="G130" s="24"/>
      <c r="H130" s="25">
        <f>SUM(H125:H129)</f>
        <v>221</v>
      </c>
      <c r="J130" s="23" t="s">
        <v>11</v>
      </c>
      <c r="K130" s="24"/>
      <c r="L130" s="25">
        <f>SUM(L125:L129)</f>
        <v>155</v>
      </c>
      <c r="M130" s="98"/>
    </row>
    <row r="131" ht="16.7" customHeight="1" spans="1:13">
      <c r="A131" s="98"/>
      <c r="B131" s="7" t="s">
        <v>12</v>
      </c>
      <c r="C131" s="19">
        <v>23.5</v>
      </c>
      <c r="D131" s="26"/>
      <c r="E131" s="98"/>
      <c r="F131" s="7" t="s">
        <v>12</v>
      </c>
      <c r="G131" s="19">
        <v>21.5</v>
      </c>
      <c r="H131" s="26"/>
      <c r="J131" s="7" t="s">
        <v>12</v>
      </c>
      <c r="K131" s="19">
        <v>21</v>
      </c>
      <c r="L131" s="26"/>
      <c r="M131" s="98"/>
    </row>
    <row r="132" ht="16.7" customHeight="1" spans="1:13">
      <c r="A132" s="98"/>
      <c r="B132" s="27" t="s">
        <v>13</v>
      </c>
      <c r="C132" s="11"/>
      <c r="D132" s="28">
        <f>D130*C131</f>
        <v>6368.5</v>
      </c>
      <c r="E132" s="98"/>
      <c r="F132" s="27" t="s">
        <v>13</v>
      </c>
      <c r="G132" s="11"/>
      <c r="H132" s="28">
        <f>H130*G131</f>
        <v>4751.5</v>
      </c>
      <c r="J132" s="27" t="s">
        <v>13</v>
      </c>
      <c r="K132" s="11"/>
      <c r="L132" s="28">
        <f>L130*K131</f>
        <v>3255</v>
      </c>
      <c r="M132" s="98"/>
    </row>
    <row r="133" ht="16.7" customHeight="1" spans="1:13">
      <c r="A133" s="98"/>
      <c r="B133" s="29" t="s">
        <v>14</v>
      </c>
      <c r="C133" s="30"/>
      <c r="D133" s="31">
        <f>D120*0.06</f>
        <v>1818</v>
      </c>
      <c r="E133" s="98"/>
      <c r="F133" s="29" t="s">
        <v>14</v>
      </c>
      <c r="G133" s="30"/>
      <c r="H133" s="31">
        <f>H120*0.06</f>
        <v>1770</v>
      </c>
      <c r="J133" s="29" t="s">
        <v>14</v>
      </c>
      <c r="K133" s="30"/>
      <c r="L133" s="31">
        <f>L120*0.06</f>
        <v>1770</v>
      </c>
      <c r="M133" s="98"/>
    </row>
    <row r="134" ht="16.7" customHeight="1" spans="1:13">
      <c r="A134" s="98"/>
      <c r="B134" s="7" t="s">
        <v>38</v>
      </c>
      <c r="C134" s="32"/>
      <c r="D134" s="9">
        <v>1000</v>
      </c>
      <c r="E134" s="98"/>
      <c r="F134" s="7" t="s">
        <v>38</v>
      </c>
      <c r="G134" s="32"/>
      <c r="H134" s="9">
        <v>1000</v>
      </c>
      <c r="J134" s="7" t="s">
        <v>38</v>
      </c>
      <c r="K134" s="32"/>
      <c r="L134" s="9">
        <v>1500</v>
      </c>
      <c r="M134" s="98"/>
    </row>
    <row r="135" ht="16.7" customHeight="1" spans="1:13">
      <c r="A135" s="98"/>
      <c r="B135" s="7"/>
      <c r="C135" s="32"/>
      <c r="D135" s="9"/>
      <c r="E135" s="98"/>
      <c r="F135" s="7"/>
      <c r="G135" s="32"/>
      <c r="H135" s="9"/>
      <c r="J135" s="7"/>
      <c r="K135" s="32"/>
      <c r="L135" s="9"/>
      <c r="M135" s="98"/>
    </row>
    <row r="136" ht="16.7" customHeight="1" spans="1:13">
      <c r="A136" s="98"/>
      <c r="B136" s="7" t="s">
        <v>9</v>
      </c>
      <c r="C136" s="21"/>
      <c r="D136" s="22">
        <v>7198</v>
      </c>
      <c r="E136" s="98"/>
      <c r="F136" s="7" t="s">
        <v>9</v>
      </c>
      <c r="G136" s="21"/>
      <c r="H136" s="22">
        <v>328</v>
      </c>
      <c r="J136" s="7" t="s">
        <v>9</v>
      </c>
      <c r="K136" s="21"/>
      <c r="L136" s="22">
        <v>1476</v>
      </c>
      <c r="M136" s="98"/>
    </row>
    <row r="137" ht="16.7" customHeight="1" spans="1:13">
      <c r="A137" s="98"/>
      <c r="B137" s="33" t="s">
        <v>18</v>
      </c>
      <c r="C137" s="34"/>
      <c r="D137" s="35">
        <f>D124+D132+D133+D134+D135+D136</f>
        <v>46684.5</v>
      </c>
      <c r="E137" s="98"/>
      <c r="F137" s="33" t="s">
        <v>18</v>
      </c>
      <c r="G137" s="34"/>
      <c r="H137" s="35">
        <f>H124+H132+H133+H134+H135+H136</f>
        <v>40299.5</v>
      </c>
      <c r="J137" s="33" t="s">
        <v>18</v>
      </c>
      <c r="K137" s="34"/>
      <c r="L137" s="35">
        <f>L124+L132+L133+L134+L135+L136</f>
        <v>37501</v>
      </c>
      <c r="M137" s="98"/>
    </row>
    <row r="138" ht="16.7" customHeight="1" spans="1:13">
      <c r="A138" s="98"/>
      <c r="B138" s="29" t="s">
        <v>19</v>
      </c>
      <c r="C138" s="30"/>
      <c r="D138" s="36">
        <v>758</v>
      </c>
      <c r="E138" s="98"/>
      <c r="F138" s="29" t="s">
        <v>19</v>
      </c>
      <c r="G138" s="30"/>
      <c r="H138" s="36">
        <v>738</v>
      </c>
      <c r="J138" s="29" t="s">
        <v>19</v>
      </c>
      <c r="K138" s="30"/>
      <c r="L138" s="36">
        <v>738</v>
      </c>
      <c r="M138" s="98"/>
    </row>
    <row r="139" ht="16.7" customHeight="1" spans="1:13">
      <c r="A139" s="98"/>
      <c r="B139" s="7" t="s">
        <v>20</v>
      </c>
      <c r="C139" s="8"/>
      <c r="D139" s="9">
        <v>470</v>
      </c>
      <c r="E139" s="98"/>
      <c r="F139" s="7" t="s">
        <v>20</v>
      </c>
      <c r="G139" s="8"/>
      <c r="H139" s="9">
        <v>458</v>
      </c>
      <c r="J139" s="7" t="s">
        <v>20</v>
      </c>
      <c r="K139" s="8"/>
      <c r="L139" s="9">
        <v>458</v>
      </c>
      <c r="M139" s="98"/>
    </row>
    <row r="140" ht="16.7" customHeight="1" spans="1:13">
      <c r="A140" s="98"/>
      <c r="B140" s="7"/>
      <c r="C140" s="8"/>
      <c r="D140" s="9"/>
      <c r="E140" s="98"/>
      <c r="F140" s="7"/>
      <c r="G140" s="8"/>
      <c r="H140" s="9"/>
      <c r="J140" s="7"/>
      <c r="K140" s="8"/>
      <c r="L140" s="9"/>
      <c r="M140" s="98"/>
    </row>
    <row r="141" ht="16.7" customHeight="1" spans="1:13">
      <c r="A141" s="98"/>
      <c r="B141" s="7" t="s">
        <v>33</v>
      </c>
      <c r="C141" s="21"/>
      <c r="D141" s="22">
        <v>1805</v>
      </c>
      <c r="E141" s="98"/>
      <c r="F141" s="7" t="s">
        <v>33</v>
      </c>
      <c r="G141" s="21"/>
      <c r="H141" s="22">
        <v>1970</v>
      </c>
      <c r="J141" s="7" t="s">
        <v>33</v>
      </c>
      <c r="K141" s="21"/>
      <c r="L141" s="22">
        <v>850</v>
      </c>
      <c r="M141" s="98"/>
    </row>
    <row r="142" ht="16.7" customHeight="1" spans="1:13">
      <c r="A142" s="98"/>
      <c r="B142" s="37" t="s">
        <v>21</v>
      </c>
      <c r="C142" s="38"/>
      <c r="D142" s="39">
        <f>SUM(D138:D141)</f>
        <v>3033</v>
      </c>
      <c r="E142" s="98"/>
      <c r="F142" s="37" t="s">
        <v>21</v>
      </c>
      <c r="G142" s="38"/>
      <c r="H142" s="39">
        <f>SUM(H138:H141)</f>
        <v>3166</v>
      </c>
      <c r="J142" s="37" t="s">
        <v>21</v>
      </c>
      <c r="K142" s="38"/>
      <c r="L142" s="39">
        <f>SUM(L138:L141)</f>
        <v>2046</v>
      </c>
      <c r="M142" s="98"/>
    </row>
    <row r="143" s="91" customFormat="1" ht="16.7" customHeight="1" spans="1:13">
      <c r="A143" s="102"/>
      <c r="B143" s="40" t="s">
        <v>22</v>
      </c>
      <c r="C143" s="41"/>
      <c r="D143" s="42">
        <f>D124</f>
        <v>30300</v>
      </c>
      <c r="E143" s="102"/>
      <c r="F143" s="40" t="s">
        <v>22</v>
      </c>
      <c r="G143" s="41"/>
      <c r="H143" s="42">
        <f>H124</f>
        <v>32450</v>
      </c>
      <c r="I143" s="108"/>
      <c r="J143" s="40" t="s">
        <v>22</v>
      </c>
      <c r="K143" s="41"/>
      <c r="L143" s="42">
        <f>L124</f>
        <v>29500</v>
      </c>
      <c r="M143" s="102"/>
    </row>
    <row r="144" s="92" customFormat="1" ht="16.7" customHeight="1" spans="1:13">
      <c r="A144" s="103"/>
      <c r="B144" s="43" t="s">
        <v>24</v>
      </c>
      <c r="C144" s="44"/>
      <c r="D144" s="45">
        <f>D137-D142-D143-D145</f>
        <v>11533.5</v>
      </c>
      <c r="E144" s="103"/>
      <c r="F144" s="43" t="s">
        <v>24</v>
      </c>
      <c r="G144" s="44"/>
      <c r="H144" s="45">
        <f>H137-H142-H143-H145</f>
        <v>2913.5</v>
      </c>
      <c r="I144" s="109"/>
      <c r="J144" s="43" t="s">
        <v>24</v>
      </c>
      <c r="K144" s="44"/>
      <c r="L144" s="45">
        <f>L137-L142-L143-L145</f>
        <v>4185</v>
      </c>
      <c r="M144" s="103"/>
    </row>
    <row r="145" ht="16.7" customHeight="1" spans="1:13">
      <c r="A145" s="98"/>
      <c r="B145" s="46" t="s">
        <v>25</v>
      </c>
      <c r="C145" s="47"/>
      <c r="D145" s="48">
        <f>D133</f>
        <v>1818</v>
      </c>
      <c r="E145" s="98"/>
      <c r="F145" s="46" t="s">
        <v>25</v>
      </c>
      <c r="G145" s="47"/>
      <c r="H145" s="48">
        <f>H133</f>
        <v>1770</v>
      </c>
      <c r="J145" s="46" t="s">
        <v>25</v>
      </c>
      <c r="K145" s="47"/>
      <c r="L145" s="48">
        <f>L133</f>
        <v>1770</v>
      </c>
      <c r="M145" s="98"/>
    </row>
    <row r="146" ht="16.5" customHeight="1" spans="1:15">
      <c r="A146" s="98"/>
      <c r="B146" s="62"/>
      <c r="C146" s="62"/>
      <c r="D146" s="98"/>
      <c r="E146" s="98"/>
      <c r="F146" s="62"/>
      <c r="G146" s="62"/>
      <c r="H146" s="98"/>
      <c r="J146" s="62"/>
      <c r="K146" s="62"/>
      <c r="L146" s="98"/>
      <c r="M146" s="98"/>
      <c r="O146" s="112">
        <f>D146+H146+L146</f>
        <v>0</v>
      </c>
    </row>
    <row r="147" s="90" customFormat="1" ht="16.7" customHeight="1" spans="1:13">
      <c r="A147" s="1"/>
      <c r="B147" s="1" t="s">
        <v>0</v>
      </c>
      <c r="C147" s="1"/>
      <c r="D147" s="1"/>
      <c r="E147" s="1"/>
      <c r="F147" s="1" t="s">
        <v>0</v>
      </c>
      <c r="G147" s="1"/>
      <c r="H147" s="1"/>
      <c r="J147" s="1" t="s">
        <v>0</v>
      </c>
      <c r="K147" s="1"/>
      <c r="L147" s="1"/>
      <c r="M147" s="110"/>
    </row>
    <row r="148" ht="16.7" customHeight="1" spans="1:13">
      <c r="A148" s="97"/>
      <c r="B148" s="2" t="s">
        <v>2</v>
      </c>
      <c r="C148" s="2"/>
      <c r="D148" s="3" t="s">
        <v>45</v>
      </c>
      <c r="E148" s="97"/>
      <c r="F148" s="2" t="s">
        <v>2</v>
      </c>
      <c r="G148" s="2"/>
      <c r="H148" s="3" t="s">
        <v>46</v>
      </c>
      <c r="J148" s="2" t="s">
        <v>2</v>
      </c>
      <c r="K148" s="2"/>
      <c r="L148" s="3" t="s">
        <v>47</v>
      </c>
      <c r="M148" s="111"/>
    </row>
    <row r="149" ht="16.7" customHeight="1" spans="1:13">
      <c r="A149" s="98"/>
      <c r="B149" s="4" t="s">
        <v>5</v>
      </c>
      <c r="C149" s="5">
        <v>30</v>
      </c>
      <c r="D149" s="6">
        <v>29500</v>
      </c>
      <c r="E149" s="98"/>
      <c r="F149" s="4" t="s">
        <v>5</v>
      </c>
      <c r="G149" s="5">
        <v>30</v>
      </c>
      <c r="H149" s="6">
        <v>29500</v>
      </c>
      <c r="J149" s="4" t="s">
        <v>5</v>
      </c>
      <c r="K149" s="5">
        <v>30</v>
      </c>
      <c r="L149" s="6">
        <v>29500</v>
      </c>
      <c r="M149" s="98"/>
    </row>
    <row r="150" ht="16.5" customHeight="1" spans="1:13">
      <c r="A150" s="98"/>
      <c r="B150" s="7"/>
      <c r="C150" s="8"/>
      <c r="D150" s="9"/>
      <c r="E150" s="98"/>
      <c r="F150" s="7"/>
      <c r="G150" s="8"/>
      <c r="H150" s="9"/>
      <c r="J150" s="7"/>
      <c r="K150" s="8"/>
      <c r="L150" s="9"/>
      <c r="M150" s="98"/>
    </row>
    <row r="151" ht="16.7" customHeight="1" spans="1:13">
      <c r="A151" s="98"/>
      <c r="B151" s="7"/>
      <c r="C151" s="8"/>
      <c r="D151" s="9"/>
      <c r="E151" s="98"/>
      <c r="F151" s="7"/>
      <c r="G151" s="8"/>
      <c r="H151" s="9"/>
      <c r="J151" s="7"/>
      <c r="K151" s="8"/>
      <c r="L151" s="9"/>
      <c r="M151" s="98"/>
    </row>
    <row r="152" ht="16.7" customHeight="1" spans="1:13">
      <c r="A152" s="98"/>
      <c r="B152" s="10" t="s">
        <v>37</v>
      </c>
      <c r="C152" s="11"/>
      <c r="D152" s="12"/>
      <c r="E152" s="98"/>
      <c r="F152" s="10" t="s">
        <v>37</v>
      </c>
      <c r="G152" s="11"/>
      <c r="H152" s="12"/>
      <c r="J152" s="10" t="s">
        <v>37</v>
      </c>
      <c r="K152" s="11"/>
      <c r="L152" s="12"/>
      <c r="M152" s="98"/>
    </row>
    <row r="153" ht="16.7" customHeight="1" spans="1:13">
      <c r="A153" s="98"/>
      <c r="B153" s="13" t="s">
        <v>7</v>
      </c>
      <c r="C153" s="14"/>
      <c r="D153" s="15">
        <f>SUM(D149:D152)</f>
        <v>29500</v>
      </c>
      <c r="E153" s="98"/>
      <c r="F153" s="13" t="s">
        <v>7</v>
      </c>
      <c r="G153" s="14"/>
      <c r="H153" s="15">
        <f>SUM(H149:H152)</f>
        <v>29500</v>
      </c>
      <c r="J153" s="13" t="s">
        <v>7</v>
      </c>
      <c r="K153" s="14"/>
      <c r="L153" s="15">
        <f>SUM(L149:L152)</f>
        <v>29500</v>
      </c>
      <c r="M153" s="98"/>
    </row>
    <row r="154" ht="16.7" customHeight="1" spans="1:13">
      <c r="A154" s="98"/>
      <c r="B154" s="16" t="s">
        <v>8</v>
      </c>
      <c r="C154" s="17"/>
      <c r="D154" s="18">
        <v>110</v>
      </c>
      <c r="E154" s="98"/>
      <c r="F154" s="115" t="s">
        <v>8</v>
      </c>
      <c r="G154" s="17"/>
      <c r="H154" s="18">
        <v>110</v>
      </c>
      <c r="J154" s="4" t="s">
        <v>5</v>
      </c>
      <c r="K154" s="17">
        <v>30</v>
      </c>
      <c r="L154" s="18">
        <v>2410</v>
      </c>
      <c r="M154" s="98"/>
    </row>
    <row r="155" ht="16.7" customHeight="1" spans="1:13">
      <c r="A155" s="98"/>
      <c r="B155" s="7" t="s">
        <v>9</v>
      </c>
      <c r="C155" s="19"/>
      <c r="D155" s="9"/>
      <c r="E155" s="98"/>
      <c r="F155" s="7" t="s">
        <v>9</v>
      </c>
      <c r="G155" s="19"/>
      <c r="H155" s="9"/>
      <c r="J155" s="113"/>
      <c r="K155" s="8"/>
      <c r="L155" s="9"/>
      <c r="M155" s="98"/>
    </row>
    <row r="156" ht="16.7" customHeight="1" spans="1:13">
      <c r="A156" s="98"/>
      <c r="B156" s="7" t="s">
        <v>10</v>
      </c>
      <c r="C156" s="8"/>
      <c r="D156" s="9">
        <v>45</v>
      </c>
      <c r="E156" s="98"/>
      <c r="F156" s="7" t="s">
        <v>10</v>
      </c>
      <c r="G156" s="8"/>
      <c r="H156" s="9">
        <v>45</v>
      </c>
      <c r="J156" s="7"/>
      <c r="K156" s="8"/>
      <c r="L156" s="9"/>
      <c r="M156" s="98"/>
    </row>
    <row r="157" ht="16.7" customHeight="1" spans="1:13">
      <c r="A157" s="98"/>
      <c r="B157" s="7"/>
      <c r="C157" s="19"/>
      <c r="D157" s="9"/>
      <c r="E157" s="98"/>
      <c r="F157" s="114"/>
      <c r="G157" s="19"/>
      <c r="H157" s="9"/>
      <c r="J157" s="114"/>
      <c r="K157" s="19"/>
      <c r="L157" s="9"/>
      <c r="M157" s="98"/>
    </row>
    <row r="158" ht="16.7" customHeight="1" spans="1:13">
      <c r="A158" s="98"/>
      <c r="B158" s="20"/>
      <c r="C158" s="21"/>
      <c r="D158" s="22"/>
      <c r="E158" s="98"/>
      <c r="F158" s="20"/>
      <c r="G158" s="21"/>
      <c r="H158" s="22"/>
      <c r="J158" s="20"/>
      <c r="K158" s="21"/>
      <c r="L158" s="22"/>
      <c r="M158" s="98"/>
    </row>
    <row r="159" ht="16.7" customHeight="1" spans="1:13">
      <c r="A159" s="98"/>
      <c r="B159" s="23" t="s">
        <v>11</v>
      </c>
      <c r="C159" s="24"/>
      <c r="D159" s="25">
        <f>SUM(D154:D158)</f>
        <v>155</v>
      </c>
      <c r="E159" s="98"/>
      <c r="F159" s="23" t="s">
        <v>11</v>
      </c>
      <c r="G159" s="24"/>
      <c r="H159" s="25">
        <f>SUM(H154:H158)</f>
        <v>155</v>
      </c>
      <c r="J159" s="23"/>
      <c r="K159" s="24"/>
      <c r="L159" s="25"/>
      <c r="M159" s="98"/>
    </row>
    <row r="160" ht="16.7" customHeight="1" spans="1:13">
      <c r="A160" s="98"/>
      <c r="B160" s="7" t="s">
        <v>12</v>
      </c>
      <c r="C160" s="19">
        <v>21</v>
      </c>
      <c r="D160" s="26"/>
      <c r="E160" s="98"/>
      <c r="F160" s="7" t="s">
        <v>12</v>
      </c>
      <c r="G160" s="19">
        <v>21.5</v>
      </c>
      <c r="H160" s="26"/>
      <c r="J160" s="7"/>
      <c r="K160" s="19"/>
      <c r="L160" s="26"/>
      <c r="M160" s="98"/>
    </row>
    <row r="161" ht="16.7" customHeight="1" spans="1:13">
      <c r="A161" s="98"/>
      <c r="B161" s="27" t="s">
        <v>13</v>
      </c>
      <c r="C161" s="11"/>
      <c r="D161" s="28">
        <f>D159*C160</f>
        <v>3255</v>
      </c>
      <c r="E161" s="98"/>
      <c r="F161" s="27" t="s">
        <v>13</v>
      </c>
      <c r="G161" s="11"/>
      <c r="H161" s="28">
        <f>H159*G160</f>
        <v>3332.5</v>
      </c>
      <c r="J161" s="27" t="s">
        <v>13</v>
      </c>
      <c r="K161" s="11"/>
      <c r="L161" s="28">
        <f>SUM(L154:L160)</f>
        <v>2410</v>
      </c>
      <c r="M161" s="98"/>
    </row>
    <row r="162" ht="16.7" customHeight="1" spans="1:13">
      <c r="A162" s="98"/>
      <c r="B162" s="29" t="s">
        <v>14</v>
      </c>
      <c r="C162" s="30"/>
      <c r="D162" s="31">
        <f>D149*0.06</f>
        <v>1770</v>
      </c>
      <c r="E162" s="98"/>
      <c r="F162" s="29" t="s">
        <v>14</v>
      </c>
      <c r="G162" s="30"/>
      <c r="H162" s="31">
        <f>H149*0.06</f>
        <v>1770</v>
      </c>
      <c r="J162" s="29" t="s">
        <v>14</v>
      </c>
      <c r="K162" s="30"/>
      <c r="L162" s="31">
        <f>L149*0.06</f>
        <v>1770</v>
      </c>
      <c r="M162" s="98"/>
    </row>
    <row r="163" ht="16.7" customHeight="1" spans="1:13">
      <c r="A163" s="98"/>
      <c r="B163" s="7" t="s">
        <v>38</v>
      </c>
      <c r="C163" s="32"/>
      <c r="D163" s="9">
        <v>1500</v>
      </c>
      <c r="E163" s="98"/>
      <c r="F163" s="7" t="s">
        <v>38</v>
      </c>
      <c r="G163" s="32"/>
      <c r="H163" s="9">
        <v>1000</v>
      </c>
      <c r="J163" s="7" t="s">
        <v>38</v>
      </c>
      <c r="K163" s="32"/>
      <c r="L163" s="9">
        <v>1000</v>
      </c>
      <c r="M163" s="98"/>
    </row>
    <row r="164" ht="16.7" customHeight="1" spans="1:13">
      <c r="A164" s="98"/>
      <c r="B164" s="7"/>
      <c r="C164" s="32"/>
      <c r="D164" s="9"/>
      <c r="E164" s="98"/>
      <c r="F164" s="7"/>
      <c r="G164" s="32"/>
      <c r="H164" s="9"/>
      <c r="J164" s="7"/>
      <c r="K164" s="32"/>
      <c r="L164" s="9"/>
      <c r="M164" s="98"/>
    </row>
    <row r="165" ht="16.7" customHeight="1" spans="1:13">
      <c r="A165" s="98"/>
      <c r="B165" s="7" t="s">
        <v>9</v>
      </c>
      <c r="C165" s="21"/>
      <c r="D165" s="22">
        <v>328</v>
      </c>
      <c r="E165" s="98"/>
      <c r="F165" s="7" t="s">
        <v>9</v>
      </c>
      <c r="G165" s="21"/>
      <c r="H165" s="22">
        <v>328</v>
      </c>
      <c r="J165" s="7" t="s">
        <v>9</v>
      </c>
      <c r="K165" s="21"/>
      <c r="L165" s="22">
        <v>410</v>
      </c>
      <c r="M165" s="98"/>
    </row>
    <row r="166" ht="16.7" customHeight="1" spans="1:13">
      <c r="A166" s="98"/>
      <c r="B166" s="33" t="s">
        <v>18</v>
      </c>
      <c r="C166" s="34"/>
      <c r="D166" s="35">
        <f>D153+D161+D162+D163+D164+D165</f>
        <v>36353</v>
      </c>
      <c r="E166" s="98"/>
      <c r="F166" s="33" t="s">
        <v>18</v>
      </c>
      <c r="G166" s="34"/>
      <c r="H166" s="35">
        <f>H153+H161+H162+H163+H164+H165</f>
        <v>35930.5</v>
      </c>
      <c r="J166" s="33" t="s">
        <v>18</v>
      </c>
      <c r="K166" s="34"/>
      <c r="L166" s="35">
        <f>L153+L161+L162+L163+L164+L165</f>
        <v>35090</v>
      </c>
      <c r="M166" s="98"/>
    </row>
    <row r="167" ht="16.7" customHeight="1" spans="1:13">
      <c r="A167" s="98"/>
      <c r="B167" s="29" t="s">
        <v>19</v>
      </c>
      <c r="C167" s="30"/>
      <c r="D167" s="36">
        <v>738</v>
      </c>
      <c r="E167" s="98"/>
      <c r="F167" s="29" t="s">
        <v>19</v>
      </c>
      <c r="G167" s="30"/>
      <c r="H167" s="36">
        <v>738</v>
      </c>
      <c r="J167" s="29" t="s">
        <v>19</v>
      </c>
      <c r="K167" s="30"/>
      <c r="L167" s="36">
        <v>738</v>
      </c>
      <c r="M167" s="98"/>
    </row>
    <row r="168" ht="16.7" customHeight="1" spans="1:13">
      <c r="A168" s="98"/>
      <c r="B168" s="7" t="s">
        <v>20</v>
      </c>
      <c r="C168" s="8"/>
      <c r="D168" s="9">
        <v>458</v>
      </c>
      <c r="E168" s="98"/>
      <c r="F168" s="7" t="s">
        <v>20</v>
      </c>
      <c r="G168" s="8"/>
      <c r="H168" s="9">
        <v>458</v>
      </c>
      <c r="J168" s="7" t="s">
        <v>20</v>
      </c>
      <c r="K168" s="8"/>
      <c r="L168" s="9">
        <v>458</v>
      </c>
      <c r="M168" s="98"/>
    </row>
    <row r="169" ht="16.7" customHeight="1" spans="1:13">
      <c r="A169" s="98"/>
      <c r="B169" s="7"/>
      <c r="C169" s="8"/>
      <c r="D169" s="9"/>
      <c r="E169" s="98"/>
      <c r="F169" s="7"/>
      <c r="G169" s="8"/>
      <c r="H169" s="9"/>
      <c r="J169" s="7"/>
      <c r="K169" s="8"/>
      <c r="L169" s="9"/>
      <c r="M169" s="98"/>
    </row>
    <row r="170" ht="16.7" customHeight="1" spans="1:13">
      <c r="A170" s="98"/>
      <c r="B170" s="7" t="s">
        <v>33</v>
      </c>
      <c r="C170" s="21"/>
      <c r="D170" s="22">
        <v>1265</v>
      </c>
      <c r="E170" s="98"/>
      <c r="F170" s="7" t="s">
        <v>33</v>
      </c>
      <c r="G170" s="21"/>
      <c r="H170" s="22">
        <v>1335</v>
      </c>
      <c r="J170" s="7" t="s">
        <v>33</v>
      </c>
      <c r="K170" s="21"/>
      <c r="L170" s="22">
        <v>935</v>
      </c>
      <c r="M170" s="98"/>
    </row>
    <row r="171" ht="16.7" customHeight="1" spans="1:13">
      <c r="A171" s="98"/>
      <c r="B171" s="37" t="s">
        <v>21</v>
      </c>
      <c r="C171" s="38"/>
      <c r="D171" s="39">
        <f>SUM(D167:D170)</f>
        <v>2461</v>
      </c>
      <c r="E171" s="98"/>
      <c r="F171" s="37" t="s">
        <v>21</v>
      </c>
      <c r="G171" s="38"/>
      <c r="H171" s="39">
        <f>SUM(H167:H170)</f>
        <v>2531</v>
      </c>
      <c r="J171" s="37" t="s">
        <v>21</v>
      </c>
      <c r="K171" s="38"/>
      <c r="L171" s="39">
        <f>SUM(L167:L170)</f>
        <v>2131</v>
      </c>
      <c r="M171" s="98"/>
    </row>
    <row r="172" s="91" customFormat="1" ht="16.7" customHeight="1" spans="1:13">
      <c r="A172" s="102"/>
      <c r="B172" s="40" t="s">
        <v>22</v>
      </c>
      <c r="C172" s="41"/>
      <c r="D172" s="42">
        <f>D153</f>
        <v>29500</v>
      </c>
      <c r="E172" s="102"/>
      <c r="F172" s="40" t="s">
        <v>22</v>
      </c>
      <c r="G172" s="41"/>
      <c r="H172" s="42">
        <f>H153</f>
        <v>29500</v>
      </c>
      <c r="I172" s="108"/>
      <c r="J172" s="40" t="s">
        <v>22</v>
      </c>
      <c r="K172" s="41"/>
      <c r="L172" s="42">
        <f>L166-L171-L174</f>
        <v>31189</v>
      </c>
      <c r="M172" s="102"/>
    </row>
    <row r="173" s="92" customFormat="1" ht="16.7" customHeight="1" spans="1:13">
      <c r="A173" s="103"/>
      <c r="B173" s="43" t="s">
        <v>24</v>
      </c>
      <c r="C173" s="44"/>
      <c r="D173" s="45">
        <f>D166-D171-D172-D174</f>
        <v>2622</v>
      </c>
      <c r="E173" s="103"/>
      <c r="F173" s="43" t="s">
        <v>24</v>
      </c>
      <c r="G173" s="44"/>
      <c r="H173" s="45">
        <f>H166-H171-H172-H174</f>
        <v>2129.5</v>
      </c>
      <c r="I173" s="109"/>
      <c r="J173" s="43"/>
      <c r="K173" s="44"/>
      <c r="L173" s="45">
        <f>L166-L171-L172-L174</f>
        <v>0</v>
      </c>
      <c r="M173" s="103"/>
    </row>
    <row r="174" ht="16.7" customHeight="1" spans="1:13">
      <c r="A174" s="98"/>
      <c r="B174" s="46" t="s">
        <v>25</v>
      </c>
      <c r="C174" s="47"/>
      <c r="D174" s="48">
        <f>D162</f>
        <v>1770</v>
      </c>
      <c r="E174" s="98"/>
      <c r="F174" s="46" t="s">
        <v>25</v>
      </c>
      <c r="G174" s="47"/>
      <c r="H174" s="48">
        <f>H162</f>
        <v>1770</v>
      </c>
      <c r="J174" s="46" t="s">
        <v>25</v>
      </c>
      <c r="K174" s="47"/>
      <c r="L174" s="48">
        <f>L162</f>
        <v>1770</v>
      </c>
      <c r="M174" s="98"/>
    </row>
    <row r="175" ht="16.5" customHeight="1" spans="1:15">
      <c r="A175" s="98"/>
      <c r="B175" s="62"/>
      <c r="C175" s="62"/>
      <c r="D175" s="98"/>
      <c r="E175" s="98"/>
      <c r="F175" s="62"/>
      <c r="G175" s="62"/>
      <c r="H175" s="98"/>
      <c r="J175" s="62"/>
      <c r="K175" s="62"/>
      <c r="L175" s="98"/>
      <c r="M175" s="98"/>
      <c r="O175" s="112">
        <f>D175+H175+L175</f>
        <v>0</v>
      </c>
    </row>
    <row r="176" s="90" customFormat="1" ht="16.7" customHeight="1" spans="1:13">
      <c r="A176" s="1"/>
      <c r="B176" s="1" t="s">
        <v>0</v>
      </c>
      <c r="C176" s="1"/>
      <c r="D176" s="1"/>
      <c r="E176" s="1"/>
      <c r="F176" s="1" t="s">
        <v>0</v>
      </c>
      <c r="G176" s="1"/>
      <c r="H176" s="1"/>
      <c r="J176" s="1" t="s">
        <v>0</v>
      </c>
      <c r="K176" s="1"/>
      <c r="L176" s="1"/>
      <c r="M176" s="110"/>
    </row>
    <row r="177" ht="16.7" customHeight="1" spans="1:13">
      <c r="A177" s="97"/>
      <c r="B177" s="2" t="s">
        <v>2</v>
      </c>
      <c r="C177" s="2"/>
      <c r="D177" s="3" t="s">
        <v>48</v>
      </c>
      <c r="E177" s="97"/>
      <c r="F177" s="2" t="s">
        <v>2</v>
      </c>
      <c r="G177" s="2"/>
      <c r="H177" s="3" t="s">
        <v>49</v>
      </c>
      <c r="J177" s="2" t="s">
        <v>2</v>
      </c>
      <c r="K177" s="2"/>
      <c r="L177" s="3" t="s">
        <v>50</v>
      </c>
      <c r="M177" s="111"/>
    </row>
    <row r="178" ht="16.7" customHeight="1" spans="1:13">
      <c r="A178" s="98"/>
      <c r="B178" s="4" t="s">
        <v>5</v>
      </c>
      <c r="C178" s="5">
        <v>30</v>
      </c>
      <c r="D178" s="6">
        <v>29500</v>
      </c>
      <c r="E178" s="98"/>
      <c r="F178" s="4" t="s">
        <v>5</v>
      </c>
      <c r="G178" s="5">
        <v>30</v>
      </c>
      <c r="H178" s="6">
        <v>29500</v>
      </c>
      <c r="J178" s="4" t="s">
        <v>5</v>
      </c>
      <c r="K178" s="5">
        <v>30</v>
      </c>
      <c r="L178" s="6">
        <v>29500</v>
      </c>
      <c r="M178" s="98"/>
    </row>
    <row r="179" ht="16.5" customHeight="1" spans="1:13">
      <c r="A179" s="98"/>
      <c r="B179" s="7"/>
      <c r="C179" s="8"/>
      <c r="D179" s="9"/>
      <c r="E179" s="98"/>
      <c r="F179" s="7"/>
      <c r="G179" s="8"/>
      <c r="H179" s="9"/>
      <c r="J179" s="7"/>
      <c r="K179" s="8"/>
      <c r="L179" s="9"/>
      <c r="M179" s="98"/>
    </row>
    <row r="180" ht="16.7" customHeight="1" spans="1:13">
      <c r="A180" s="98"/>
      <c r="B180" s="7"/>
      <c r="C180" s="8"/>
      <c r="D180" s="9"/>
      <c r="E180" s="98"/>
      <c r="F180" s="7"/>
      <c r="G180" s="8"/>
      <c r="H180" s="9"/>
      <c r="J180" s="7"/>
      <c r="K180" s="8"/>
      <c r="L180" s="9"/>
      <c r="M180" s="98"/>
    </row>
    <row r="181" ht="16.7" customHeight="1" spans="1:13">
      <c r="A181" s="98"/>
      <c r="B181" s="10" t="s">
        <v>37</v>
      </c>
      <c r="C181" s="11"/>
      <c r="D181" s="12"/>
      <c r="E181" s="98"/>
      <c r="F181" s="10" t="s">
        <v>37</v>
      </c>
      <c r="G181" s="11"/>
      <c r="H181" s="12"/>
      <c r="J181" s="10" t="s">
        <v>37</v>
      </c>
      <c r="K181" s="11"/>
      <c r="L181" s="12"/>
      <c r="M181" s="98"/>
    </row>
    <row r="182" ht="16.7" customHeight="1" spans="1:13">
      <c r="A182" s="98"/>
      <c r="B182" s="13" t="s">
        <v>7</v>
      </c>
      <c r="C182" s="14"/>
      <c r="D182" s="15">
        <f>SUM(D178:D181)</f>
        <v>29500</v>
      </c>
      <c r="E182" s="98"/>
      <c r="F182" s="13" t="s">
        <v>7</v>
      </c>
      <c r="G182" s="14"/>
      <c r="H182" s="15">
        <f>SUM(H178:H181)</f>
        <v>29500</v>
      </c>
      <c r="J182" s="13" t="s">
        <v>7</v>
      </c>
      <c r="K182" s="14"/>
      <c r="L182" s="15">
        <f>SUM(L178:L181)</f>
        <v>29500</v>
      </c>
      <c r="M182" s="98"/>
    </row>
    <row r="183" ht="16.7" customHeight="1" spans="1:13">
      <c r="A183" s="98"/>
      <c r="B183" s="4" t="s">
        <v>5</v>
      </c>
      <c r="C183" s="17">
        <v>30</v>
      </c>
      <c r="D183" s="18">
        <v>2410</v>
      </c>
      <c r="E183" s="98"/>
      <c r="F183" s="4" t="s">
        <v>5</v>
      </c>
      <c r="G183" s="17">
        <v>30</v>
      </c>
      <c r="H183" s="18">
        <v>2410</v>
      </c>
      <c r="J183" s="4" t="s">
        <v>5</v>
      </c>
      <c r="K183" s="17">
        <v>30</v>
      </c>
      <c r="L183" s="18">
        <v>2410</v>
      </c>
      <c r="M183" s="98"/>
    </row>
    <row r="184" ht="16.7" customHeight="1" spans="1:13">
      <c r="A184" s="98"/>
      <c r="B184" s="113"/>
      <c r="C184" s="8"/>
      <c r="D184" s="9"/>
      <c r="E184" s="98"/>
      <c r="F184" s="113"/>
      <c r="G184" s="8"/>
      <c r="H184" s="9"/>
      <c r="J184" s="113"/>
      <c r="K184" s="8"/>
      <c r="L184" s="9"/>
      <c r="M184" s="98"/>
    </row>
    <row r="185" ht="16.7" customHeight="1" spans="1:13">
      <c r="A185" s="98"/>
      <c r="B185" s="7"/>
      <c r="C185" s="8"/>
      <c r="D185" s="9"/>
      <c r="E185" s="98"/>
      <c r="F185" s="7"/>
      <c r="G185" s="8"/>
      <c r="H185" s="9"/>
      <c r="J185" s="7"/>
      <c r="K185" s="8"/>
      <c r="L185" s="9"/>
      <c r="M185" s="98"/>
    </row>
    <row r="186" ht="16.7" customHeight="1" spans="1:13">
      <c r="A186" s="98"/>
      <c r="B186" s="114"/>
      <c r="C186" s="19"/>
      <c r="D186" s="9"/>
      <c r="E186" s="98"/>
      <c r="F186" s="114"/>
      <c r="G186" s="19"/>
      <c r="H186" s="9"/>
      <c r="J186" s="114"/>
      <c r="K186" s="19"/>
      <c r="L186" s="9"/>
      <c r="M186" s="98"/>
    </row>
    <row r="187" ht="16.7" customHeight="1" spans="1:13">
      <c r="A187" s="98"/>
      <c r="B187" s="20"/>
      <c r="C187" s="21"/>
      <c r="D187" s="22"/>
      <c r="E187" s="98"/>
      <c r="F187" s="20"/>
      <c r="G187" s="21"/>
      <c r="H187" s="22"/>
      <c r="J187" s="20"/>
      <c r="K187" s="21"/>
      <c r="L187" s="22"/>
      <c r="M187" s="98"/>
    </row>
    <row r="188" ht="16.7" customHeight="1" spans="1:13">
      <c r="A188" s="98"/>
      <c r="B188" s="23"/>
      <c r="C188" s="24"/>
      <c r="D188" s="25"/>
      <c r="E188" s="98"/>
      <c r="F188" s="23"/>
      <c r="G188" s="24"/>
      <c r="H188" s="25"/>
      <c r="J188" s="23"/>
      <c r="K188" s="24"/>
      <c r="L188" s="25"/>
      <c r="M188" s="98"/>
    </row>
    <row r="189" ht="16.7" customHeight="1" spans="1:13">
      <c r="A189" s="98"/>
      <c r="B189" s="7"/>
      <c r="C189" s="19"/>
      <c r="D189" s="26"/>
      <c r="E189" s="98"/>
      <c r="F189" s="7"/>
      <c r="G189" s="19"/>
      <c r="H189" s="26"/>
      <c r="J189" s="7"/>
      <c r="K189" s="19"/>
      <c r="L189" s="26"/>
      <c r="M189" s="98"/>
    </row>
    <row r="190" ht="16.7" customHeight="1" spans="1:13">
      <c r="A190" s="98"/>
      <c r="B190" s="27" t="s">
        <v>13</v>
      </c>
      <c r="C190" s="11"/>
      <c r="D190" s="28">
        <f>SUM(D183:D189)</f>
        <v>2410</v>
      </c>
      <c r="E190" s="98"/>
      <c r="F190" s="27" t="s">
        <v>13</v>
      </c>
      <c r="G190" s="11"/>
      <c r="H190" s="28">
        <f>SUM(H183:H189)</f>
        <v>2410</v>
      </c>
      <c r="J190" s="27" t="s">
        <v>13</v>
      </c>
      <c r="K190" s="11"/>
      <c r="L190" s="28">
        <f>SUM(L183:L189)</f>
        <v>2410</v>
      </c>
      <c r="M190" s="98"/>
    </row>
    <row r="191" ht="16.7" customHeight="1" spans="1:13">
      <c r="A191" s="98"/>
      <c r="B191" s="29" t="s">
        <v>14</v>
      </c>
      <c r="C191" s="30"/>
      <c r="D191" s="31">
        <f>D178*0.06</f>
        <v>1770</v>
      </c>
      <c r="E191" s="98"/>
      <c r="F191" s="29" t="s">
        <v>14</v>
      </c>
      <c r="G191" s="30"/>
      <c r="H191" s="31">
        <f>H178*0.06</f>
        <v>1770</v>
      </c>
      <c r="J191" s="29" t="s">
        <v>14</v>
      </c>
      <c r="K191" s="30"/>
      <c r="L191" s="31">
        <f>L178*0.06</f>
        <v>1770</v>
      </c>
      <c r="M191" s="98"/>
    </row>
    <row r="192" ht="16.7" customHeight="1" spans="1:13">
      <c r="A192" s="98"/>
      <c r="B192" s="7" t="s">
        <v>38</v>
      </c>
      <c r="C192" s="32"/>
      <c r="D192" s="9">
        <v>1000</v>
      </c>
      <c r="E192" s="98"/>
      <c r="F192" s="7" t="s">
        <v>38</v>
      </c>
      <c r="G192" s="32"/>
      <c r="H192" s="9">
        <v>1000</v>
      </c>
      <c r="J192" s="7" t="s">
        <v>38</v>
      </c>
      <c r="K192" s="32"/>
      <c r="L192" s="9">
        <v>1000</v>
      </c>
      <c r="M192" s="98"/>
    </row>
    <row r="193" ht="16.7" customHeight="1" spans="1:13">
      <c r="A193" s="98"/>
      <c r="B193" s="7"/>
      <c r="C193" s="32"/>
      <c r="D193" s="9"/>
      <c r="E193" s="98"/>
      <c r="F193" s="7"/>
      <c r="G193" s="32"/>
      <c r="H193" s="9"/>
      <c r="J193" s="7"/>
      <c r="K193" s="32"/>
      <c r="L193" s="9"/>
      <c r="M193" s="98"/>
    </row>
    <row r="194" ht="16.7" customHeight="1" spans="1:13">
      <c r="A194" s="98"/>
      <c r="B194" s="7" t="s">
        <v>9</v>
      </c>
      <c r="C194" s="21"/>
      <c r="D194" s="22">
        <v>1230</v>
      </c>
      <c r="E194" s="98"/>
      <c r="F194" s="7" t="s">
        <v>9</v>
      </c>
      <c r="G194" s="21"/>
      <c r="H194" s="22"/>
      <c r="J194" s="7" t="s">
        <v>9</v>
      </c>
      <c r="K194" s="21"/>
      <c r="L194" s="22">
        <v>1230</v>
      </c>
      <c r="M194" s="98"/>
    </row>
    <row r="195" ht="16.7" customHeight="1" spans="1:13">
      <c r="A195" s="98"/>
      <c r="B195" s="33" t="s">
        <v>18</v>
      </c>
      <c r="C195" s="34"/>
      <c r="D195" s="35">
        <f>D182+D190+D191+D192+D193+D194</f>
        <v>35910</v>
      </c>
      <c r="E195" s="98"/>
      <c r="F195" s="33" t="s">
        <v>18</v>
      </c>
      <c r="G195" s="34"/>
      <c r="H195" s="35">
        <f>H182+H190+H191+H192+H193+H194</f>
        <v>34680</v>
      </c>
      <c r="J195" s="33" t="s">
        <v>18</v>
      </c>
      <c r="K195" s="34"/>
      <c r="L195" s="35">
        <f>L182+L190+L191+L192+L193+L194</f>
        <v>35910</v>
      </c>
      <c r="M195" s="98"/>
    </row>
    <row r="196" ht="16.7" customHeight="1" spans="1:13">
      <c r="A196" s="98"/>
      <c r="B196" s="29" t="s">
        <v>19</v>
      </c>
      <c r="C196" s="30"/>
      <c r="D196" s="36">
        <v>738</v>
      </c>
      <c r="E196" s="98"/>
      <c r="F196" s="29" t="s">
        <v>19</v>
      </c>
      <c r="G196" s="30"/>
      <c r="H196" s="36">
        <v>738</v>
      </c>
      <c r="J196" s="29" t="s">
        <v>19</v>
      </c>
      <c r="K196" s="30"/>
      <c r="L196" s="36">
        <v>738</v>
      </c>
      <c r="M196" s="98"/>
    </row>
    <row r="197" ht="16.7" customHeight="1" spans="1:13">
      <c r="A197" s="98"/>
      <c r="B197" s="7" t="s">
        <v>20</v>
      </c>
      <c r="C197" s="8"/>
      <c r="D197" s="9">
        <v>458</v>
      </c>
      <c r="E197" s="98"/>
      <c r="F197" s="7" t="s">
        <v>20</v>
      </c>
      <c r="G197" s="8"/>
      <c r="H197" s="9">
        <v>458</v>
      </c>
      <c r="J197" s="7" t="s">
        <v>20</v>
      </c>
      <c r="K197" s="8"/>
      <c r="L197" s="9">
        <v>458</v>
      </c>
      <c r="M197" s="98"/>
    </row>
    <row r="198" ht="16.7" customHeight="1" spans="1:13">
      <c r="A198" s="98"/>
      <c r="B198" s="7"/>
      <c r="C198" s="8"/>
      <c r="D198" s="9"/>
      <c r="E198" s="98"/>
      <c r="F198" s="7"/>
      <c r="G198" s="8"/>
      <c r="H198" s="9"/>
      <c r="J198" s="7" t="s">
        <v>32</v>
      </c>
      <c r="K198" s="21"/>
      <c r="L198" s="22">
        <v>1770</v>
      </c>
      <c r="M198" s="98"/>
    </row>
    <row r="199" ht="16.7" customHeight="1" spans="1:13">
      <c r="A199" s="98"/>
      <c r="B199" s="7" t="s">
        <v>33</v>
      </c>
      <c r="C199" s="21"/>
      <c r="D199" s="22">
        <v>1390</v>
      </c>
      <c r="E199" s="98"/>
      <c r="F199" s="7" t="s">
        <v>33</v>
      </c>
      <c r="G199" s="21"/>
      <c r="H199" s="22">
        <v>255</v>
      </c>
      <c r="J199" s="7" t="s">
        <v>33</v>
      </c>
      <c r="K199" s="21"/>
      <c r="L199" s="22">
        <v>1925</v>
      </c>
      <c r="M199" s="98"/>
    </row>
    <row r="200" ht="16.7" customHeight="1" spans="1:13">
      <c r="A200" s="98"/>
      <c r="B200" s="37" t="s">
        <v>21</v>
      </c>
      <c r="C200" s="38"/>
      <c r="D200" s="39">
        <f>SUM(D196:D199)</f>
        <v>2586</v>
      </c>
      <c r="E200" s="98"/>
      <c r="F200" s="37" t="s">
        <v>21</v>
      </c>
      <c r="G200" s="38"/>
      <c r="H200" s="39">
        <f>SUM(H196:H199)</f>
        <v>1451</v>
      </c>
      <c r="J200" s="37" t="s">
        <v>21</v>
      </c>
      <c r="K200" s="38"/>
      <c r="L200" s="39">
        <f>SUM(L196:L199)</f>
        <v>4891</v>
      </c>
      <c r="M200" s="98"/>
    </row>
    <row r="201" s="91" customFormat="1" ht="16.7" customHeight="1" spans="1:13">
      <c r="A201" s="102"/>
      <c r="B201" s="40" t="s">
        <v>22</v>
      </c>
      <c r="C201" s="41"/>
      <c r="D201" s="42">
        <f>D195-D200-D203</f>
        <v>31554</v>
      </c>
      <c r="E201" s="102"/>
      <c r="F201" s="40" t="s">
        <v>22</v>
      </c>
      <c r="G201" s="41"/>
      <c r="H201" s="42">
        <f>H195-H200-H203</f>
        <v>31459</v>
      </c>
      <c r="I201" s="108"/>
      <c r="J201" s="40" t="s">
        <v>22</v>
      </c>
      <c r="K201" s="41"/>
      <c r="L201" s="42">
        <f>L195-L200-L203</f>
        <v>29249</v>
      </c>
      <c r="M201" s="102"/>
    </row>
    <row r="202" s="92" customFormat="1" ht="16.7" customHeight="1" spans="1:13">
      <c r="A202" s="103"/>
      <c r="B202" s="43"/>
      <c r="C202" s="44"/>
      <c r="D202" s="45">
        <f>D195-D200-D201-D203</f>
        <v>0</v>
      </c>
      <c r="E202" s="103"/>
      <c r="F202" s="43"/>
      <c r="G202" s="44"/>
      <c r="H202" s="45">
        <f>H195-H200-H201-H203</f>
        <v>0</v>
      </c>
      <c r="I202" s="109"/>
      <c r="J202" s="43"/>
      <c r="K202" s="44"/>
      <c r="L202" s="45">
        <f>L195-L200-L201-L203</f>
        <v>0</v>
      </c>
      <c r="M202" s="103"/>
    </row>
    <row r="203" ht="16.7" customHeight="1" spans="1:13">
      <c r="A203" s="98"/>
      <c r="B203" s="46" t="s">
        <v>25</v>
      </c>
      <c r="C203" s="47"/>
      <c r="D203" s="48">
        <f>D191</f>
        <v>1770</v>
      </c>
      <c r="E203" s="98"/>
      <c r="F203" s="46" t="s">
        <v>25</v>
      </c>
      <c r="G203" s="47"/>
      <c r="H203" s="48">
        <f>H191</f>
        <v>1770</v>
      </c>
      <c r="J203" s="46" t="s">
        <v>25</v>
      </c>
      <c r="K203" s="47"/>
      <c r="L203" s="48">
        <f>L191</f>
        <v>1770</v>
      </c>
      <c r="M203" s="98"/>
    </row>
    <row r="204" ht="16.7" customHeight="1" spans="1:15">
      <c r="A204" s="98"/>
      <c r="B204" s="62"/>
      <c r="C204" s="62"/>
      <c r="D204" s="98"/>
      <c r="E204" s="98"/>
      <c r="F204" s="62"/>
      <c r="G204" s="62"/>
      <c r="H204" s="98"/>
      <c r="J204" s="62"/>
      <c r="K204" s="62"/>
      <c r="L204" s="98"/>
      <c r="M204" s="98"/>
      <c r="O204" s="112">
        <f>D204+H204+L204</f>
        <v>0</v>
      </c>
    </row>
    <row r="205" s="90" customFormat="1" ht="16.7" customHeight="1" spans="1:13">
      <c r="A205" s="1"/>
      <c r="B205" s="1" t="s">
        <v>0</v>
      </c>
      <c r="C205" s="1"/>
      <c r="D205" s="1"/>
      <c r="E205" s="1"/>
      <c r="F205" s="1" t="s">
        <v>0</v>
      </c>
      <c r="G205" s="1"/>
      <c r="H205" s="1"/>
      <c r="J205" s="1" t="s">
        <v>0</v>
      </c>
      <c r="K205" s="1"/>
      <c r="L205" s="1"/>
      <c r="M205" s="110"/>
    </row>
    <row r="206" ht="16.7" customHeight="1" spans="1:13">
      <c r="A206" s="97"/>
      <c r="B206" s="2" t="s">
        <v>2</v>
      </c>
      <c r="C206" s="2"/>
      <c r="D206" s="3" t="s">
        <v>51</v>
      </c>
      <c r="E206" s="97"/>
      <c r="F206" s="2"/>
      <c r="G206" s="2"/>
      <c r="H206" s="3"/>
      <c r="J206" s="2" t="s">
        <v>2</v>
      </c>
      <c r="K206" s="2"/>
      <c r="L206" s="3" t="s">
        <v>52</v>
      </c>
      <c r="M206" s="111"/>
    </row>
    <row r="207" ht="16.7" customHeight="1" spans="1:13">
      <c r="A207" s="98"/>
      <c r="B207" s="4" t="s">
        <v>5</v>
      </c>
      <c r="C207" s="5">
        <v>30</v>
      </c>
      <c r="D207" s="6">
        <v>29500</v>
      </c>
      <c r="E207" s="98"/>
      <c r="F207" s="4"/>
      <c r="G207" s="5"/>
      <c r="H207" s="6"/>
      <c r="J207" s="4" t="s">
        <v>5</v>
      </c>
      <c r="K207" s="5">
        <v>11</v>
      </c>
      <c r="L207" s="6">
        <v>10816</v>
      </c>
      <c r="M207" s="98"/>
    </row>
    <row r="208" ht="16.5" customHeight="1" spans="1:13">
      <c r="A208" s="98"/>
      <c r="B208" s="7"/>
      <c r="C208" s="8"/>
      <c r="D208" s="9"/>
      <c r="E208" s="98"/>
      <c r="F208" s="7"/>
      <c r="G208" s="8"/>
      <c r="H208" s="9"/>
      <c r="J208" s="7"/>
      <c r="K208" s="8"/>
      <c r="L208" s="9"/>
      <c r="M208" s="98"/>
    </row>
    <row r="209" ht="16.7" customHeight="1" spans="1:13">
      <c r="A209" s="98"/>
      <c r="B209" s="7"/>
      <c r="C209" s="8"/>
      <c r="D209" s="9"/>
      <c r="E209" s="98"/>
      <c r="F209" s="7"/>
      <c r="G209" s="8"/>
      <c r="H209" s="9"/>
      <c r="J209" s="7"/>
      <c r="K209" s="8"/>
      <c r="L209" s="9"/>
      <c r="M209" s="98"/>
    </row>
    <row r="210" ht="16.7" customHeight="1" spans="1:13">
      <c r="A210" s="98"/>
      <c r="B210" s="10" t="s">
        <v>37</v>
      </c>
      <c r="C210" s="11"/>
      <c r="D210" s="12">
        <v>-245</v>
      </c>
      <c r="E210" s="98"/>
      <c r="F210" s="10"/>
      <c r="G210" s="11"/>
      <c r="H210" s="12"/>
      <c r="J210" s="10" t="s">
        <v>37</v>
      </c>
      <c r="K210" s="11"/>
      <c r="L210" s="12">
        <v>-1033</v>
      </c>
      <c r="M210" s="98"/>
    </row>
    <row r="211" ht="16.7" customHeight="1" spans="1:13">
      <c r="A211" s="98"/>
      <c r="B211" s="13" t="s">
        <v>7</v>
      </c>
      <c r="C211" s="14"/>
      <c r="D211" s="15">
        <f>SUM(D207:D210)</f>
        <v>29255</v>
      </c>
      <c r="E211" s="98"/>
      <c r="F211" s="13"/>
      <c r="G211" s="14"/>
      <c r="H211" s="15"/>
      <c r="J211" s="13" t="s">
        <v>7</v>
      </c>
      <c r="K211" s="14"/>
      <c r="L211" s="15">
        <f>SUM(L207:L210)</f>
        <v>9783</v>
      </c>
      <c r="M211" s="98"/>
    </row>
    <row r="212" ht="16.7" customHeight="1" spans="1:13">
      <c r="A212" s="98"/>
      <c r="B212" s="4" t="s">
        <v>5</v>
      </c>
      <c r="C212" s="17">
        <v>30</v>
      </c>
      <c r="D212" s="18">
        <v>1500</v>
      </c>
      <c r="E212" s="98"/>
      <c r="F212" s="4"/>
      <c r="G212" s="17"/>
      <c r="H212" s="18"/>
      <c r="J212" s="4" t="s">
        <v>5</v>
      </c>
      <c r="K212" s="17">
        <v>11</v>
      </c>
      <c r="L212" s="18">
        <v>550</v>
      </c>
      <c r="M212" s="98"/>
    </row>
    <row r="213" ht="16.7" customHeight="1" spans="1:13">
      <c r="A213" s="98"/>
      <c r="B213" s="113"/>
      <c r="C213" s="8"/>
      <c r="D213" s="9"/>
      <c r="E213" s="98"/>
      <c r="F213" s="113"/>
      <c r="G213" s="8"/>
      <c r="H213" s="9"/>
      <c r="J213" s="113"/>
      <c r="K213" s="8"/>
      <c r="L213" s="9"/>
      <c r="M213" s="98"/>
    </row>
    <row r="214" ht="16.7" customHeight="1" spans="1:13">
      <c r="A214" s="98"/>
      <c r="B214" s="7"/>
      <c r="C214" s="8"/>
      <c r="D214" s="9"/>
      <c r="E214" s="98"/>
      <c r="F214" s="7"/>
      <c r="G214" s="8"/>
      <c r="H214" s="9"/>
      <c r="J214" s="7"/>
      <c r="K214" s="8"/>
      <c r="L214" s="9"/>
      <c r="M214" s="98"/>
    </row>
    <row r="215" ht="16.7" customHeight="1" spans="1:13">
      <c r="A215" s="98"/>
      <c r="B215" s="114"/>
      <c r="C215" s="19"/>
      <c r="D215" s="9"/>
      <c r="E215" s="98"/>
      <c r="F215" s="114"/>
      <c r="G215" s="19"/>
      <c r="H215" s="9"/>
      <c r="J215" s="114"/>
      <c r="K215" s="19"/>
      <c r="L215" s="9"/>
      <c r="M215" s="98"/>
    </row>
    <row r="216" ht="16.7" customHeight="1" spans="1:13">
      <c r="A216" s="98"/>
      <c r="B216" s="20"/>
      <c r="C216" s="21"/>
      <c r="D216" s="22"/>
      <c r="E216" s="98"/>
      <c r="F216" s="20"/>
      <c r="G216" s="21"/>
      <c r="H216" s="22"/>
      <c r="J216" s="20"/>
      <c r="K216" s="21"/>
      <c r="L216" s="22"/>
      <c r="M216" s="98"/>
    </row>
    <row r="217" ht="16.7" customHeight="1" spans="1:13">
      <c r="A217" s="98"/>
      <c r="B217" s="23"/>
      <c r="C217" s="24"/>
      <c r="D217" s="25"/>
      <c r="E217" s="98"/>
      <c r="F217" s="23"/>
      <c r="G217" s="24"/>
      <c r="H217" s="25"/>
      <c r="J217" s="23"/>
      <c r="K217" s="24"/>
      <c r="L217" s="25"/>
      <c r="M217" s="98"/>
    </row>
    <row r="218" ht="16.7" customHeight="1" spans="1:13">
      <c r="A218" s="98"/>
      <c r="B218" s="7"/>
      <c r="C218" s="19"/>
      <c r="D218" s="26"/>
      <c r="E218" s="98"/>
      <c r="F218" s="7"/>
      <c r="G218" s="19"/>
      <c r="H218" s="26"/>
      <c r="J218" s="7"/>
      <c r="K218" s="19"/>
      <c r="L218" s="26"/>
      <c r="M218" s="98"/>
    </row>
    <row r="219" ht="16.7" customHeight="1" spans="1:13">
      <c r="A219" s="98"/>
      <c r="B219" s="27" t="s">
        <v>13</v>
      </c>
      <c r="C219" s="11"/>
      <c r="D219" s="28">
        <f>SUM(D212:D218)</f>
        <v>1500</v>
      </c>
      <c r="E219" s="98"/>
      <c r="F219" s="27"/>
      <c r="G219" s="11"/>
      <c r="H219" s="28"/>
      <c r="J219" s="27" t="s">
        <v>13</v>
      </c>
      <c r="K219" s="11"/>
      <c r="L219" s="28">
        <f>SUM(L212:L218)</f>
        <v>550</v>
      </c>
      <c r="M219" s="98"/>
    </row>
    <row r="220" ht="16.7" customHeight="1" spans="1:13">
      <c r="A220" s="98"/>
      <c r="B220" s="29" t="s">
        <v>14</v>
      </c>
      <c r="C220" s="30"/>
      <c r="D220" s="31">
        <f>D207*0.06</f>
        <v>1770</v>
      </c>
      <c r="E220" s="98"/>
      <c r="F220" s="29"/>
      <c r="G220" s="30"/>
      <c r="H220" s="31"/>
      <c r="J220" s="29" t="s">
        <v>14</v>
      </c>
      <c r="K220" s="30"/>
      <c r="L220" s="31">
        <f>L207*0.06</f>
        <v>648.96</v>
      </c>
      <c r="M220" s="98"/>
    </row>
    <row r="221" ht="16.7" customHeight="1" spans="1:13">
      <c r="A221" s="98"/>
      <c r="B221" s="7"/>
      <c r="C221" s="32"/>
      <c r="D221" s="9"/>
      <c r="E221" s="98"/>
      <c r="F221" s="7"/>
      <c r="G221" s="32"/>
      <c r="H221" s="9"/>
      <c r="J221" s="7"/>
      <c r="K221" s="32"/>
      <c r="L221" s="9"/>
      <c r="M221" s="98"/>
    </row>
    <row r="222" ht="16.7" customHeight="1" spans="1:13">
      <c r="A222" s="98"/>
      <c r="B222" s="7"/>
      <c r="C222" s="32"/>
      <c r="D222" s="9"/>
      <c r="E222" s="98"/>
      <c r="F222" s="7"/>
      <c r="G222" s="32"/>
      <c r="H222" s="9"/>
      <c r="J222" s="7"/>
      <c r="K222" s="32"/>
      <c r="L222" s="9"/>
      <c r="M222" s="98"/>
    </row>
    <row r="223" ht="16.7" customHeight="1" spans="1:13">
      <c r="A223" s="98"/>
      <c r="B223" s="7" t="s">
        <v>9</v>
      </c>
      <c r="C223" s="21"/>
      <c r="D223" s="22">
        <v>820</v>
      </c>
      <c r="E223" s="98"/>
      <c r="F223" s="7"/>
      <c r="G223" s="21"/>
      <c r="H223" s="22"/>
      <c r="J223" s="7" t="s">
        <v>9</v>
      </c>
      <c r="K223" s="21"/>
      <c r="L223" s="22">
        <v>164</v>
      </c>
      <c r="M223" s="98"/>
    </row>
    <row r="224" ht="16.7" customHeight="1" spans="1:13">
      <c r="A224" s="98"/>
      <c r="B224" s="33" t="s">
        <v>18</v>
      </c>
      <c r="C224" s="34"/>
      <c r="D224" s="35">
        <f>D211+D219+D220+D221+D222+D223</f>
        <v>33345</v>
      </c>
      <c r="E224" s="98"/>
      <c r="F224" s="33"/>
      <c r="G224" s="34"/>
      <c r="H224" s="35"/>
      <c r="J224" s="33" t="s">
        <v>18</v>
      </c>
      <c r="K224" s="34"/>
      <c r="L224" s="35">
        <f>L211+L219+L220+L221+L222+L223</f>
        <v>11145.96</v>
      </c>
      <c r="M224" s="98"/>
    </row>
    <row r="225" ht="16.7" customHeight="1" spans="1:13">
      <c r="A225" s="98"/>
      <c r="B225" s="29" t="s">
        <v>19</v>
      </c>
      <c r="C225" s="30"/>
      <c r="D225" s="36">
        <v>738</v>
      </c>
      <c r="E225" s="98"/>
      <c r="F225" s="29"/>
      <c r="G225" s="30"/>
      <c r="H225" s="36"/>
      <c r="J225" s="29" t="s">
        <v>19</v>
      </c>
      <c r="K225" s="30"/>
      <c r="L225" s="36">
        <v>271</v>
      </c>
      <c r="M225" s="98"/>
    </row>
    <row r="226" ht="16.7" customHeight="1" spans="1:13">
      <c r="A226" s="98"/>
      <c r="B226" s="7" t="s">
        <v>20</v>
      </c>
      <c r="C226" s="8"/>
      <c r="D226" s="9">
        <v>458</v>
      </c>
      <c r="E226" s="98"/>
      <c r="F226" s="7"/>
      <c r="G226" s="8"/>
      <c r="H226" s="9"/>
      <c r="J226" s="7" t="s">
        <v>20</v>
      </c>
      <c r="K226" s="8"/>
      <c r="L226" s="9"/>
      <c r="M226" s="98"/>
    </row>
    <row r="227" ht="16.7" customHeight="1" spans="1:13">
      <c r="A227" s="98"/>
      <c r="B227" s="7"/>
      <c r="C227" s="8"/>
      <c r="D227" s="9"/>
      <c r="E227" s="98"/>
      <c r="F227" s="7"/>
      <c r="G227" s="8"/>
      <c r="H227" s="9"/>
      <c r="J227" s="7"/>
      <c r="K227" s="21"/>
      <c r="L227" s="22"/>
      <c r="M227" s="98"/>
    </row>
    <row r="228" ht="16.7" customHeight="1" spans="1:13">
      <c r="A228" s="98"/>
      <c r="B228" s="7" t="s">
        <v>33</v>
      </c>
      <c r="C228" s="21"/>
      <c r="D228" s="22"/>
      <c r="E228" s="98"/>
      <c r="F228" s="7"/>
      <c r="G228" s="21"/>
      <c r="H228" s="22"/>
      <c r="J228" s="7" t="s">
        <v>33</v>
      </c>
      <c r="K228" s="21"/>
      <c r="L228" s="22"/>
      <c r="M228" s="98"/>
    </row>
    <row r="229" ht="16.7" customHeight="1" spans="1:13">
      <c r="A229" s="98"/>
      <c r="B229" s="37" t="s">
        <v>21</v>
      </c>
      <c r="C229" s="38"/>
      <c r="D229" s="39">
        <f>SUM(D225:D228)</f>
        <v>1196</v>
      </c>
      <c r="E229" s="98"/>
      <c r="F229" s="37"/>
      <c r="G229" s="38"/>
      <c r="H229" s="39"/>
      <c r="J229" s="37" t="s">
        <v>21</v>
      </c>
      <c r="K229" s="38"/>
      <c r="L229" s="39">
        <f>SUM(L225:L228)</f>
        <v>271</v>
      </c>
      <c r="M229" s="98"/>
    </row>
    <row r="230" s="91" customFormat="1" ht="16.7" customHeight="1" spans="1:13">
      <c r="A230" s="102"/>
      <c r="B230" s="40" t="s">
        <v>22</v>
      </c>
      <c r="C230" s="41"/>
      <c r="D230" s="42">
        <f>D224-D229-D232</f>
        <v>30379</v>
      </c>
      <c r="E230" s="102"/>
      <c r="F230" s="40"/>
      <c r="G230" s="41"/>
      <c r="H230" s="42"/>
      <c r="I230" s="108"/>
      <c r="J230" s="40" t="s">
        <v>22</v>
      </c>
      <c r="K230" s="41"/>
      <c r="L230" s="42">
        <f>L224-L229-L232</f>
        <v>10226</v>
      </c>
      <c r="M230" s="102"/>
    </row>
    <row r="231" s="92" customFormat="1" ht="16.7" customHeight="1" spans="1:13">
      <c r="A231" s="103"/>
      <c r="B231" s="43"/>
      <c r="C231" s="44"/>
      <c r="D231" s="45">
        <f>D224-D229-D230-D232</f>
        <v>0</v>
      </c>
      <c r="E231" s="103"/>
      <c r="F231" s="43"/>
      <c r="G231" s="44"/>
      <c r="H231" s="45"/>
      <c r="I231" s="109"/>
      <c r="J231" s="43"/>
      <c r="K231" s="44"/>
      <c r="L231" s="45">
        <f>L224-L229-L230-L232</f>
        <v>0</v>
      </c>
      <c r="M231" s="103"/>
    </row>
    <row r="232" ht="16.7" customHeight="1" spans="1:13">
      <c r="A232" s="98"/>
      <c r="B232" s="46" t="s">
        <v>25</v>
      </c>
      <c r="C232" s="47"/>
      <c r="D232" s="48">
        <f>D220</f>
        <v>1770</v>
      </c>
      <c r="E232" s="98"/>
      <c r="F232" s="46"/>
      <c r="G232" s="47"/>
      <c r="H232" s="48"/>
      <c r="J232" s="46" t="s">
        <v>25</v>
      </c>
      <c r="K232" s="47"/>
      <c r="L232" s="48">
        <f>L220</f>
        <v>648.96</v>
      </c>
      <c r="M232" s="98"/>
    </row>
    <row r="233" ht="16.7" customHeight="1" spans="1:15">
      <c r="A233" s="98"/>
      <c r="B233" s="62"/>
      <c r="C233" s="62"/>
      <c r="D233" s="98"/>
      <c r="E233" s="98"/>
      <c r="F233" s="62"/>
      <c r="G233" s="62"/>
      <c r="H233" s="98"/>
      <c r="J233" s="62"/>
      <c r="K233" s="62"/>
      <c r="L233" s="98"/>
      <c r="M233" s="98"/>
      <c r="O233" s="112">
        <f>D233+H233+L233</f>
        <v>0</v>
      </c>
    </row>
    <row r="234" s="90" customFormat="1" ht="16.7" customHeight="1" spans="1:13">
      <c r="A234" s="1"/>
      <c r="B234" s="1" t="s">
        <v>0</v>
      </c>
      <c r="C234" s="1"/>
      <c r="D234" s="1"/>
      <c r="E234" s="1"/>
      <c r="F234" s="1" t="s">
        <v>0</v>
      </c>
      <c r="G234" s="1"/>
      <c r="H234" s="1"/>
      <c r="J234" s="1" t="s">
        <v>0</v>
      </c>
      <c r="K234" s="1"/>
      <c r="L234" s="1"/>
      <c r="M234" s="110"/>
    </row>
    <row r="235" ht="16.7" customHeight="1" spans="1:13">
      <c r="A235" s="97"/>
      <c r="B235" s="2" t="s">
        <v>2</v>
      </c>
      <c r="C235" s="2"/>
      <c r="D235" s="3" t="s">
        <v>53</v>
      </c>
      <c r="E235" s="97"/>
      <c r="F235" s="2" t="s">
        <v>2</v>
      </c>
      <c r="G235" s="2"/>
      <c r="H235" s="3" t="s">
        <v>54</v>
      </c>
      <c r="J235" s="2" t="s">
        <v>2</v>
      </c>
      <c r="K235" s="2"/>
      <c r="L235" s="3" t="s">
        <v>55</v>
      </c>
      <c r="M235" s="111"/>
    </row>
    <row r="236" ht="16.7" customHeight="1" spans="1:13">
      <c r="A236" s="98"/>
      <c r="B236" s="4" t="s">
        <v>5</v>
      </c>
      <c r="C236" s="5">
        <v>30</v>
      </c>
      <c r="D236" s="6">
        <v>29500</v>
      </c>
      <c r="E236" s="98"/>
      <c r="F236" s="4" t="s">
        <v>5</v>
      </c>
      <c r="G236" s="5">
        <v>30</v>
      </c>
      <c r="H236" s="6">
        <v>29500</v>
      </c>
      <c r="J236" s="4" t="s">
        <v>5</v>
      </c>
      <c r="K236" s="5">
        <v>30</v>
      </c>
      <c r="L236" s="6">
        <v>29500</v>
      </c>
      <c r="M236" s="98"/>
    </row>
    <row r="237" ht="16.5" customHeight="1" spans="1:13">
      <c r="A237" s="98"/>
      <c r="B237" s="7"/>
      <c r="C237" s="8"/>
      <c r="D237" s="9"/>
      <c r="E237" s="98"/>
      <c r="F237" s="7"/>
      <c r="G237" s="8"/>
      <c r="H237" s="9"/>
      <c r="J237" s="7"/>
      <c r="K237" s="8"/>
      <c r="L237" s="9"/>
      <c r="M237" s="98"/>
    </row>
    <row r="238" ht="16.7" customHeight="1" spans="1:13">
      <c r="A238" s="98"/>
      <c r="B238" s="7"/>
      <c r="C238" s="8"/>
      <c r="D238" s="9"/>
      <c r="E238" s="98"/>
      <c r="F238" s="7"/>
      <c r="G238" s="8"/>
      <c r="H238" s="9"/>
      <c r="J238" s="7"/>
      <c r="K238" s="8"/>
      <c r="L238" s="9"/>
      <c r="M238" s="98"/>
    </row>
    <row r="239" ht="16.7" customHeight="1" spans="1:13">
      <c r="A239" s="98"/>
      <c r="B239" s="10" t="s">
        <v>6</v>
      </c>
      <c r="C239" s="11"/>
      <c r="D239" s="12"/>
      <c r="E239" s="98"/>
      <c r="F239" s="10" t="s">
        <v>6</v>
      </c>
      <c r="G239" s="11"/>
      <c r="H239" s="12"/>
      <c r="J239" s="10" t="s">
        <v>6</v>
      </c>
      <c r="K239" s="11"/>
      <c r="L239" s="12"/>
      <c r="M239" s="98"/>
    </row>
    <row r="240" ht="16.7" customHeight="1" spans="1:13">
      <c r="A240" s="98"/>
      <c r="B240" s="13" t="s">
        <v>7</v>
      </c>
      <c r="C240" s="14"/>
      <c r="D240" s="15">
        <f>SUM(D236:D239)</f>
        <v>29500</v>
      </c>
      <c r="E240" s="98"/>
      <c r="F240" s="13" t="s">
        <v>7</v>
      </c>
      <c r="G240" s="14"/>
      <c r="H240" s="15">
        <f>SUM(H236:H239)</f>
        <v>29500</v>
      </c>
      <c r="J240" s="13" t="s">
        <v>7</v>
      </c>
      <c r="K240" s="14"/>
      <c r="L240" s="15">
        <f>SUM(L236:L239)</f>
        <v>29500</v>
      </c>
      <c r="M240" s="98"/>
    </row>
    <row r="241" ht="16.7" customHeight="1" spans="1:13">
      <c r="A241" s="98"/>
      <c r="B241" s="16" t="s">
        <v>8</v>
      </c>
      <c r="C241" s="17"/>
      <c r="D241" s="18">
        <v>110</v>
      </c>
      <c r="E241" s="98"/>
      <c r="F241" s="16" t="s">
        <v>8</v>
      </c>
      <c r="G241" s="17"/>
      <c r="H241" s="18">
        <v>110</v>
      </c>
      <c r="J241" s="16" t="s">
        <v>8</v>
      </c>
      <c r="K241" s="17"/>
      <c r="L241" s="18">
        <v>110</v>
      </c>
      <c r="M241" s="98"/>
    </row>
    <row r="242" ht="16.7" customHeight="1" spans="1:13">
      <c r="A242" s="98"/>
      <c r="B242" s="7" t="s">
        <v>9</v>
      </c>
      <c r="C242" s="19"/>
      <c r="D242" s="9">
        <v>246</v>
      </c>
      <c r="E242" s="98"/>
      <c r="F242" s="7" t="s">
        <v>9</v>
      </c>
      <c r="G242" s="19"/>
      <c r="H242" s="9"/>
      <c r="J242" s="7" t="s">
        <v>9</v>
      </c>
      <c r="K242" s="19"/>
      <c r="L242" s="9"/>
      <c r="M242" s="98"/>
    </row>
    <row r="243" ht="16.7" customHeight="1" spans="1:13">
      <c r="A243" s="98"/>
      <c r="B243" s="7" t="s">
        <v>10</v>
      </c>
      <c r="C243" s="8"/>
      <c r="D243" s="9">
        <v>51</v>
      </c>
      <c r="E243" s="98"/>
      <c r="F243" s="7" t="s">
        <v>10</v>
      </c>
      <c r="G243" s="8"/>
      <c r="H243" s="9">
        <v>80</v>
      </c>
      <c r="J243" s="7" t="s">
        <v>10</v>
      </c>
      <c r="K243" s="8"/>
      <c r="L243" s="9">
        <v>80</v>
      </c>
      <c r="M243" s="98"/>
    </row>
    <row r="244" s="93" customFormat="1" ht="16.7" customHeight="1" spans="1:13">
      <c r="A244" s="116"/>
      <c r="B244" s="7"/>
      <c r="C244" s="19"/>
      <c r="D244" s="9"/>
      <c r="E244" s="116"/>
      <c r="F244" s="7"/>
      <c r="G244" s="19"/>
      <c r="H244" s="9"/>
      <c r="I244" s="117"/>
      <c r="J244" s="7"/>
      <c r="K244" s="19"/>
      <c r="L244" s="9"/>
      <c r="M244" s="116"/>
    </row>
    <row r="245" ht="16.7" customHeight="1" spans="1:13">
      <c r="A245" s="98"/>
      <c r="B245" s="20"/>
      <c r="C245" s="21"/>
      <c r="D245" s="22"/>
      <c r="E245" s="98"/>
      <c r="F245" s="20"/>
      <c r="G245" s="21"/>
      <c r="H245" s="22"/>
      <c r="J245" s="20"/>
      <c r="K245" s="21"/>
      <c r="L245" s="22"/>
      <c r="M245" s="98"/>
    </row>
    <row r="246" ht="16.7" customHeight="1" spans="1:13">
      <c r="A246" s="98"/>
      <c r="B246" s="23" t="s">
        <v>11</v>
      </c>
      <c r="C246" s="24"/>
      <c r="D246" s="25">
        <f>SUM(D241:D245)</f>
        <v>407</v>
      </c>
      <c r="E246" s="98"/>
      <c r="F246" s="23" t="s">
        <v>11</v>
      </c>
      <c r="G246" s="24"/>
      <c r="H246" s="25">
        <f>SUM(H241:H245)</f>
        <v>190</v>
      </c>
      <c r="J246" s="23" t="s">
        <v>11</v>
      </c>
      <c r="K246" s="24"/>
      <c r="L246" s="25">
        <f>SUM(L241:L245)</f>
        <v>190</v>
      </c>
      <c r="M246" s="98"/>
    </row>
    <row r="247" ht="16.7" customHeight="1" spans="1:13">
      <c r="A247" s="98"/>
      <c r="B247" s="7" t="s">
        <v>12</v>
      </c>
      <c r="C247" s="19">
        <v>19</v>
      </c>
      <c r="D247" s="26"/>
      <c r="E247" s="98"/>
      <c r="F247" s="7" t="s">
        <v>12</v>
      </c>
      <c r="G247" s="19">
        <v>21</v>
      </c>
      <c r="H247" s="26"/>
      <c r="J247" s="7" t="s">
        <v>12</v>
      </c>
      <c r="K247" s="19">
        <v>20.5</v>
      </c>
      <c r="L247" s="26"/>
      <c r="M247" s="98"/>
    </row>
    <row r="248" ht="16.7" customHeight="1" spans="1:13">
      <c r="A248" s="98"/>
      <c r="B248" s="27" t="s">
        <v>13</v>
      </c>
      <c r="C248" s="11"/>
      <c r="D248" s="28">
        <f>D246*C247</f>
        <v>7733</v>
      </c>
      <c r="E248" s="98"/>
      <c r="F248" s="27" t="s">
        <v>13</v>
      </c>
      <c r="G248" s="11"/>
      <c r="H248" s="28">
        <f>H246*G247</f>
        <v>3990</v>
      </c>
      <c r="J248" s="27" t="s">
        <v>13</v>
      </c>
      <c r="K248" s="11"/>
      <c r="L248" s="28">
        <f>L246*K247</f>
        <v>3895</v>
      </c>
      <c r="M248" s="98"/>
    </row>
    <row r="249" ht="16.7" customHeight="1" spans="1:13">
      <c r="A249" s="98"/>
      <c r="B249" s="29" t="s">
        <v>14</v>
      </c>
      <c r="C249" s="30"/>
      <c r="D249" s="31">
        <f>D236*0.06</f>
        <v>1770</v>
      </c>
      <c r="E249" s="98"/>
      <c r="F249" s="29" t="s">
        <v>14</v>
      </c>
      <c r="G249" s="30"/>
      <c r="H249" s="31">
        <f>H236*0.06</f>
        <v>1770</v>
      </c>
      <c r="J249" s="29" t="s">
        <v>14</v>
      </c>
      <c r="K249" s="30"/>
      <c r="L249" s="31">
        <f>L236*0.06</f>
        <v>1770</v>
      </c>
      <c r="M249" s="98"/>
    </row>
    <row r="250" ht="16.7" customHeight="1" spans="1:13">
      <c r="A250" s="98"/>
      <c r="B250" s="7"/>
      <c r="C250" s="32"/>
      <c r="D250" s="9"/>
      <c r="E250" s="98"/>
      <c r="F250" s="7"/>
      <c r="G250" s="32"/>
      <c r="H250" s="9"/>
      <c r="J250" s="7"/>
      <c r="K250" s="21"/>
      <c r="L250" s="22"/>
      <c r="M250" s="98"/>
    </row>
    <row r="251" ht="16.7" customHeight="1" spans="1:13">
      <c r="A251" s="98"/>
      <c r="B251" s="7"/>
      <c r="C251" s="32"/>
      <c r="D251" s="9"/>
      <c r="E251" s="98"/>
      <c r="F251" s="7"/>
      <c r="G251" s="32"/>
      <c r="H251" s="9"/>
      <c r="J251" s="7"/>
      <c r="K251" s="32"/>
      <c r="L251" s="9"/>
      <c r="M251" s="98"/>
    </row>
    <row r="252" ht="16.7" customHeight="1" spans="1:13">
      <c r="A252" s="98"/>
      <c r="B252" s="104" t="s">
        <v>31</v>
      </c>
      <c r="C252" s="17"/>
      <c r="D252" s="18">
        <v>15271</v>
      </c>
      <c r="E252" s="98"/>
      <c r="F252" s="104" t="s">
        <v>31</v>
      </c>
      <c r="G252" s="17"/>
      <c r="H252" s="18">
        <v>11012</v>
      </c>
      <c r="J252" s="104" t="s">
        <v>31</v>
      </c>
      <c r="K252" s="17"/>
      <c r="L252" s="18">
        <v>12773</v>
      </c>
      <c r="M252" s="98"/>
    </row>
    <row r="253" ht="16.7" customHeight="1" spans="1:13">
      <c r="A253" s="98"/>
      <c r="B253" s="33" t="s">
        <v>18</v>
      </c>
      <c r="C253" s="34"/>
      <c r="D253" s="35">
        <f>D240+D248+D249+D250+D251+D252</f>
        <v>54274</v>
      </c>
      <c r="E253" s="98"/>
      <c r="F253" s="33" t="s">
        <v>18</v>
      </c>
      <c r="G253" s="34"/>
      <c r="H253" s="35">
        <f>H240+H248+H249+H250+H251+H252</f>
        <v>46272</v>
      </c>
      <c r="J253" s="33" t="s">
        <v>18</v>
      </c>
      <c r="K253" s="34"/>
      <c r="L253" s="35">
        <f>L240+L248+L249+L250+L251+L252</f>
        <v>47938</v>
      </c>
      <c r="M253" s="98"/>
    </row>
    <row r="254" ht="16.7" customHeight="1" spans="1:13">
      <c r="A254" s="98"/>
      <c r="B254" s="29" t="s">
        <v>19</v>
      </c>
      <c r="C254" s="30"/>
      <c r="D254" s="36">
        <v>738</v>
      </c>
      <c r="E254" s="98"/>
      <c r="F254" s="29" t="s">
        <v>19</v>
      </c>
      <c r="G254" s="30"/>
      <c r="H254" s="36">
        <v>738</v>
      </c>
      <c r="J254" s="29" t="s">
        <v>19</v>
      </c>
      <c r="K254" s="30"/>
      <c r="L254" s="36">
        <v>738</v>
      </c>
      <c r="M254" s="98"/>
    </row>
    <row r="255" ht="16.7" customHeight="1" spans="1:13">
      <c r="A255" s="98"/>
      <c r="B255" s="7" t="s">
        <v>20</v>
      </c>
      <c r="C255" s="8"/>
      <c r="D255" s="9">
        <v>1374</v>
      </c>
      <c r="E255" s="98"/>
      <c r="F255" s="7" t="s">
        <v>20</v>
      </c>
      <c r="G255" s="8"/>
      <c r="H255" s="9">
        <v>458</v>
      </c>
      <c r="J255" s="7" t="s">
        <v>20</v>
      </c>
      <c r="K255" s="8"/>
      <c r="L255" s="9">
        <v>458</v>
      </c>
      <c r="M255" s="98"/>
    </row>
    <row r="256" ht="16.7" customHeight="1" spans="1:13">
      <c r="A256" s="98"/>
      <c r="B256" s="7"/>
      <c r="C256" s="8"/>
      <c r="D256" s="9"/>
      <c r="E256" s="98"/>
      <c r="F256" s="7"/>
      <c r="G256" s="8"/>
      <c r="H256" s="9"/>
      <c r="J256" s="7"/>
      <c r="K256" s="8"/>
      <c r="L256" s="9"/>
      <c r="M256" s="98"/>
    </row>
    <row r="257" ht="16.7" customHeight="1" spans="1:13">
      <c r="A257" s="98"/>
      <c r="B257" s="7" t="s">
        <v>33</v>
      </c>
      <c r="C257" s="21"/>
      <c r="D257" s="22"/>
      <c r="E257" s="98"/>
      <c r="F257" s="7" t="s">
        <v>33</v>
      </c>
      <c r="G257" s="21"/>
      <c r="H257" s="22"/>
      <c r="J257" s="7" t="s">
        <v>33</v>
      </c>
      <c r="K257" s="21"/>
      <c r="L257" s="22"/>
      <c r="M257" s="98"/>
    </row>
    <row r="258" ht="16.7" customHeight="1" spans="1:13">
      <c r="A258" s="98"/>
      <c r="B258" s="37" t="s">
        <v>21</v>
      </c>
      <c r="C258" s="38"/>
      <c r="D258" s="39">
        <f>SUM(D254:D257)</f>
        <v>2112</v>
      </c>
      <c r="E258" s="98"/>
      <c r="F258" s="37" t="s">
        <v>21</v>
      </c>
      <c r="G258" s="38"/>
      <c r="H258" s="39">
        <f>SUM(H254:H257)</f>
        <v>1196</v>
      </c>
      <c r="J258" s="37" t="s">
        <v>21</v>
      </c>
      <c r="K258" s="38"/>
      <c r="L258" s="39">
        <f>SUM(L254:L257)</f>
        <v>1196</v>
      </c>
      <c r="M258" s="98"/>
    </row>
    <row r="259" s="91" customFormat="1" ht="16.7" customHeight="1" spans="1:13">
      <c r="A259" s="102"/>
      <c r="B259" s="40" t="s">
        <v>22</v>
      </c>
      <c r="C259" s="41"/>
      <c r="D259" s="42">
        <f>D240</f>
        <v>29500</v>
      </c>
      <c r="E259" s="102"/>
      <c r="F259" s="40" t="s">
        <v>22</v>
      </c>
      <c r="G259" s="41"/>
      <c r="H259" s="42">
        <f>H240</f>
        <v>29500</v>
      </c>
      <c r="I259" s="108"/>
      <c r="J259" s="40" t="s">
        <v>22</v>
      </c>
      <c r="K259" s="41"/>
      <c r="L259" s="42">
        <f>L240</f>
        <v>29500</v>
      </c>
      <c r="M259" s="102"/>
    </row>
    <row r="260" s="92" customFormat="1" ht="16.7" customHeight="1" spans="1:13">
      <c r="A260" s="103"/>
      <c r="B260" s="43" t="s">
        <v>24</v>
      </c>
      <c r="C260" s="44"/>
      <c r="D260" s="45">
        <f>D253-D258-D259-D261</f>
        <v>20892</v>
      </c>
      <c r="E260" s="103"/>
      <c r="F260" s="43" t="s">
        <v>24</v>
      </c>
      <c r="G260" s="44"/>
      <c r="H260" s="45">
        <f>H253-H258-H259-H261</f>
        <v>13806</v>
      </c>
      <c r="I260" s="109"/>
      <c r="J260" s="43" t="s">
        <v>24</v>
      </c>
      <c r="K260" s="44"/>
      <c r="L260" s="45">
        <f>L253-L258-L259-L261</f>
        <v>15472</v>
      </c>
      <c r="M260" s="103"/>
    </row>
    <row r="261" ht="16.7" customHeight="1" spans="1:13">
      <c r="A261" s="98"/>
      <c r="B261" s="46" t="s">
        <v>25</v>
      </c>
      <c r="C261" s="47"/>
      <c r="D261" s="48">
        <f>D249</f>
        <v>1770</v>
      </c>
      <c r="E261" s="98"/>
      <c r="F261" s="46" t="s">
        <v>25</v>
      </c>
      <c r="G261" s="47"/>
      <c r="H261" s="48">
        <f>H249</f>
        <v>1770</v>
      </c>
      <c r="J261" s="46" t="s">
        <v>25</v>
      </c>
      <c r="K261" s="47"/>
      <c r="L261" s="48">
        <f>L249</f>
        <v>1770</v>
      </c>
      <c r="M261" s="98"/>
    </row>
    <row r="262" ht="16.7" customHeight="1" spans="1:15">
      <c r="A262" s="98"/>
      <c r="B262" s="62"/>
      <c r="C262" s="62"/>
      <c r="D262" s="98"/>
      <c r="E262" s="98"/>
      <c r="F262" s="62"/>
      <c r="G262" s="62"/>
      <c r="H262" s="98"/>
      <c r="J262" s="62"/>
      <c r="K262" s="62"/>
      <c r="L262" s="98"/>
      <c r="M262" s="98"/>
      <c r="O262" s="112">
        <f>D262+H262+L262</f>
        <v>0</v>
      </c>
    </row>
    <row r="263" s="90" customFormat="1" ht="16.7" customHeight="1" spans="1:13">
      <c r="A263" s="1"/>
      <c r="B263" s="1" t="s">
        <v>0</v>
      </c>
      <c r="C263" s="1"/>
      <c r="D263" s="1"/>
      <c r="E263" s="1"/>
      <c r="F263" s="1" t="s">
        <v>0</v>
      </c>
      <c r="G263" s="1"/>
      <c r="H263" s="1"/>
      <c r="J263" s="1" t="s">
        <v>0</v>
      </c>
      <c r="K263" s="1"/>
      <c r="L263" s="1"/>
      <c r="M263" s="110"/>
    </row>
    <row r="264" ht="16.7" customHeight="1" spans="1:13">
      <c r="A264" s="97"/>
      <c r="B264" s="2" t="s">
        <v>2</v>
      </c>
      <c r="C264" s="2"/>
      <c r="D264" s="3" t="s">
        <v>56</v>
      </c>
      <c r="E264" s="97"/>
      <c r="F264" s="2" t="s">
        <v>2</v>
      </c>
      <c r="G264" s="2"/>
      <c r="H264" s="3" t="s">
        <v>57</v>
      </c>
      <c r="J264" s="2" t="s">
        <v>2</v>
      </c>
      <c r="K264" s="2"/>
      <c r="L264" s="3" t="s">
        <v>58</v>
      </c>
      <c r="M264" s="111"/>
    </row>
    <row r="265" ht="16.7" customHeight="1" spans="1:13">
      <c r="A265" s="98"/>
      <c r="B265" s="4" t="s">
        <v>5</v>
      </c>
      <c r="C265" s="5">
        <v>30</v>
      </c>
      <c r="D265" s="6">
        <v>29500</v>
      </c>
      <c r="E265" s="98"/>
      <c r="F265" s="4" t="s">
        <v>5</v>
      </c>
      <c r="G265" s="5">
        <v>30</v>
      </c>
      <c r="H265" s="6">
        <v>29500</v>
      </c>
      <c r="J265" s="4" t="s">
        <v>5</v>
      </c>
      <c r="K265" s="5">
        <v>30</v>
      </c>
      <c r="L265" s="6">
        <v>29500</v>
      </c>
      <c r="M265" s="98"/>
    </row>
    <row r="266" ht="16.5" customHeight="1" spans="1:13">
      <c r="A266" s="98"/>
      <c r="B266" s="7"/>
      <c r="C266" s="8"/>
      <c r="D266" s="9"/>
      <c r="E266" s="98"/>
      <c r="F266" s="7"/>
      <c r="G266" s="8"/>
      <c r="H266" s="9"/>
      <c r="J266" s="7"/>
      <c r="K266" s="8"/>
      <c r="L266" s="9"/>
      <c r="M266" s="98"/>
    </row>
    <row r="267" ht="16.7" customHeight="1" spans="1:13">
      <c r="A267" s="98"/>
      <c r="B267" s="7"/>
      <c r="C267" s="8"/>
      <c r="D267" s="9"/>
      <c r="E267" s="98"/>
      <c r="F267" s="114"/>
      <c r="G267" s="8"/>
      <c r="H267" s="9"/>
      <c r="J267" s="114"/>
      <c r="K267" s="8"/>
      <c r="L267" s="9"/>
      <c r="M267" s="98"/>
    </row>
    <row r="268" ht="16.7" customHeight="1" spans="1:13">
      <c r="A268" s="98"/>
      <c r="B268" s="10" t="s">
        <v>6</v>
      </c>
      <c r="C268" s="11"/>
      <c r="D268" s="12"/>
      <c r="E268" s="98"/>
      <c r="F268" s="10" t="s">
        <v>6</v>
      </c>
      <c r="G268" s="11"/>
      <c r="H268" s="12"/>
      <c r="J268" s="10" t="s">
        <v>6</v>
      </c>
      <c r="K268" s="11"/>
      <c r="L268" s="12"/>
      <c r="M268" s="98"/>
    </row>
    <row r="269" ht="16.7" customHeight="1" spans="1:13">
      <c r="A269" s="98"/>
      <c r="B269" s="13" t="s">
        <v>7</v>
      </c>
      <c r="C269" s="14"/>
      <c r="D269" s="15">
        <f>SUM(D265:D268)</f>
        <v>29500</v>
      </c>
      <c r="E269" s="98"/>
      <c r="F269" s="13" t="s">
        <v>7</v>
      </c>
      <c r="G269" s="14"/>
      <c r="H269" s="15">
        <f>SUM(H265:H268)</f>
        <v>29500</v>
      </c>
      <c r="J269" s="13" t="s">
        <v>7</v>
      </c>
      <c r="K269" s="14"/>
      <c r="L269" s="15">
        <f>SUM(L265:L268)</f>
        <v>29500</v>
      </c>
      <c r="M269" s="98"/>
    </row>
    <row r="270" ht="16.7" customHeight="1" spans="1:13">
      <c r="A270" s="98"/>
      <c r="B270" s="16" t="s">
        <v>8</v>
      </c>
      <c r="C270" s="17"/>
      <c r="D270" s="18">
        <v>110</v>
      </c>
      <c r="E270" s="98"/>
      <c r="F270" s="16" t="s">
        <v>8</v>
      </c>
      <c r="G270" s="17"/>
      <c r="H270" s="18">
        <v>110</v>
      </c>
      <c r="J270" s="4" t="s">
        <v>5</v>
      </c>
      <c r="K270" s="17">
        <v>30</v>
      </c>
      <c r="L270" s="18">
        <v>2410</v>
      </c>
      <c r="M270" s="98"/>
    </row>
    <row r="271" ht="16.7" customHeight="1" spans="1:13">
      <c r="A271" s="98"/>
      <c r="B271" s="7" t="s">
        <v>9</v>
      </c>
      <c r="C271" s="19"/>
      <c r="D271" s="9"/>
      <c r="E271" s="98"/>
      <c r="F271" s="7" t="s">
        <v>9</v>
      </c>
      <c r="G271" s="19"/>
      <c r="H271" s="9"/>
      <c r="J271" s="113"/>
      <c r="K271" s="8"/>
      <c r="L271" s="9"/>
      <c r="M271" s="98"/>
    </row>
    <row r="272" ht="16.7" customHeight="1" spans="1:13">
      <c r="A272" s="98"/>
      <c r="B272" s="7" t="s">
        <v>10</v>
      </c>
      <c r="C272" s="8"/>
      <c r="D272" s="9">
        <v>80</v>
      </c>
      <c r="E272" s="98"/>
      <c r="F272" s="7" t="s">
        <v>10</v>
      </c>
      <c r="G272" s="8"/>
      <c r="H272" s="9">
        <v>50</v>
      </c>
      <c r="J272" s="7" t="s">
        <v>10</v>
      </c>
      <c r="K272" s="8"/>
      <c r="L272" s="9">
        <v>50</v>
      </c>
      <c r="M272" s="98"/>
    </row>
    <row r="273" s="93" customFormat="1" ht="16.7" customHeight="1" spans="1:13">
      <c r="A273" s="116"/>
      <c r="B273" s="7"/>
      <c r="C273" s="19"/>
      <c r="D273" s="9"/>
      <c r="E273" s="116"/>
      <c r="F273" s="7"/>
      <c r="G273" s="19"/>
      <c r="H273" s="9"/>
      <c r="I273" s="117"/>
      <c r="J273" s="7" t="s">
        <v>59</v>
      </c>
      <c r="K273" s="19"/>
      <c r="L273" s="9"/>
      <c r="M273" s="116"/>
    </row>
    <row r="274" ht="16.7" customHeight="1" spans="1:13">
      <c r="A274" s="98"/>
      <c r="B274" s="20"/>
      <c r="C274" s="21"/>
      <c r="D274" s="22"/>
      <c r="E274" s="98"/>
      <c r="F274" s="20"/>
      <c r="G274" s="21"/>
      <c r="H274" s="22"/>
      <c r="J274" s="20"/>
      <c r="K274" s="21"/>
      <c r="L274" s="22"/>
      <c r="M274" s="98"/>
    </row>
    <row r="275" ht="16.7" customHeight="1" spans="1:13">
      <c r="A275" s="98"/>
      <c r="B275" s="23" t="s">
        <v>11</v>
      </c>
      <c r="C275" s="24"/>
      <c r="D275" s="25">
        <f>SUM(D270:D274)</f>
        <v>190</v>
      </c>
      <c r="E275" s="98"/>
      <c r="F275" s="23" t="s">
        <v>11</v>
      </c>
      <c r="G275" s="24"/>
      <c r="H275" s="25">
        <f>SUM(H270:H274)</f>
        <v>160</v>
      </c>
      <c r="J275" s="23" t="s">
        <v>11</v>
      </c>
      <c r="K275" s="24"/>
      <c r="L275" s="25">
        <f>L272</f>
        <v>50</v>
      </c>
      <c r="M275" s="98"/>
    </row>
    <row r="276" ht="16.7" customHeight="1" spans="1:13">
      <c r="A276" s="98"/>
      <c r="B276" s="7" t="s">
        <v>12</v>
      </c>
      <c r="C276" s="19">
        <v>22</v>
      </c>
      <c r="D276" s="26"/>
      <c r="E276" s="98"/>
      <c r="F276" s="7" t="s">
        <v>12</v>
      </c>
      <c r="G276" s="19">
        <v>21</v>
      </c>
      <c r="H276" s="26"/>
      <c r="J276" s="7" t="s">
        <v>12</v>
      </c>
      <c r="K276" s="19">
        <v>20</v>
      </c>
      <c r="L276" s="26"/>
      <c r="M276" s="98"/>
    </row>
    <row r="277" ht="16.7" customHeight="1" spans="1:13">
      <c r="A277" s="98"/>
      <c r="B277" s="27" t="s">
        <v>13</v>
      </c>
      <c r="C277" s="11"/>
      <c r="D277" s="28">
        <f>D275*C276</f>
        <v>4180</v>
      </c>
      <c r="E277" s="98"/>
      <c r="F277" s="27" t="s">
        <v>13</v>
      </c>
      <c r="G277" s="11"/>
      <c r="H277" s="28">
        <f>H275*G276</f>
        <v>3360</v>
      </c>
      <c r="J277" s="27" t="s">
        <v>13</v>
      </c>
      <c r="K277" s="11"/>
      <c r="L277" s="28">
        <f>L275*K276</f>
        <v>1000</v>
      </c>
      <c r="M277" s="98"/>
    </row>
    <row r="278" ht="16.7" customHeight="1" spans="1:13">
      <c r="A278" s="98"/>
      <c r="B278" s="29" t="s">
        <v>14</v>
      </c>
      <c r="C278" s="30"/>
      <c r="D278" s="31">
        <f>D265*0.06</f>
        <v>1770</v>
      </c>
      <c r="E278" s="98"/>
      <c r="F278" s="29" t="s">
        <v>14</v>
      </c>
      <c r="G278" s="30"/>
      <c r="H278" s="31">
        <f>H265*0.06</f>
        <v>1770</v>
      </c>
      <c r="J278" s="29" t="s">
        <v>14</v>
      </c>
      <c r="K278" s="30"/>
      <c r="L278" s="31">
        <f>L265*0.06</f>
        <v>1770</v>
      </c>
      <c r="M278" s="98"/>
    </row>
    <row r="279" ht="16.7" customHeight="1" spans="1:13">
      <c r="A279" s="98"/>
      <c r="B279" s="7"/>
      <c r="C279" s="32"/>
      <c r="D279" s="9"/>
      <c r="E279" s="98"/>
      <c r="F279" s="7"/>
      <c r="G279" s="32"/>
      <c r="H279" s="9"/>
      <c r="J279" s="7"/>
      <c r="K279" s="32"/>
      <c r="L279" s="9"/>
      <c r="M279" s="98"/>
    </row>
    <row r="280" ht="16.7" customHeight="1" spans="1:13">
      <c r="A280" s="98"/>
      <c r="B280" s="7"/>
      <c r="C280" s="32"/>
      <c r="D280" s="9"/>
      <c r="E280" s="98"/>
      <c r="F280" s="114"/>
      <c r="G280" s="32"/>
      <c r="H280" s="9"/>
      <c r="J280" s="114"/>
      <c r="K280" s="32"/>
      <c r="L280" s="9"/>
      <c r="M280" s="98"/>
    </row>
    <row r="281" ht="16.7" customHeight="1" spans="1:13">
      <c r="A281" s="98"/>
      <c r="B281" s="104" t="s">
        <v>31</v>
      </c>
      <c r="C281" s="17"/>
      <c r="D281" s="18">
        <v>10200</v>
      </c>
      <c r="E281" s="98"/>
      <c r="F281" s="104" t="s">
        <v>31</v>
      </c>
      <c r="G281" s="17"/>
      <c r="H281" s="18">
        <v>9158</v>
      </c>
      <c r="J281" s="104" t="s">
        <v>31</v>
      </c>
      <c r="K281" s="17"/>
      <c r="L281" s="18">
        <v>8958</v>
      </c>
      <c r="M281" s="98"/>
    </row>
    <row r="282" ht="16.7" customHeight="1" spans="1:13">
      <c r="A282" s="98"/>
      <c r="B282" s="33" t="s">
        <v>18</v>
      </c>
      <c r="C282" s="34"/>
      <c r="D282" s="35">
        <f>D269+D277+D278+D279+D280+D281</f>
        <v>45650</v>
      </c>
      <c r="E282" s="98"/>
      <c r="F282" s="33" t="s">
        <v>18</v>
      </c>
      <c r="G282" s="34"/>
      <c r="H282" s="35">
        <f>H269+H277+H278+H279+H280+H281</f>
        <v>43788</v>
      </c>
      <c r="J282" s="33" t="s">
        <v>18</v>
      </c>
      <c r="K282" s="34"/>
      <c r="L282" s="35">
        <f>L265+L270+L277+L278+L281</f>
        <v>43638</v>
      </c>
      <c r="M282" s="98"/>
    </row>
    <row r="283" ht="16.7" customHeight="1" spans="1:13">
      <c r="A283" s="98"/>
      <c r="B283" s="29" t="s">
        <v>19</v>
      </c>
      <c r="C283" s="30"/>
      <c r="D283" s="36">
        <v>738</v>
      </c>
      <c r="E283" s="98"/>
      <c r="F283" s="29" t="s">
        <v>19</v>
      </c>
      <c r="G283" s="30"/>
      <c r="H283" s="36">
        <v>738</v>
      </c>
      <c r="J283" s="29" t="s">
        <v>19</v>
      </c>
      <c r="K283" s="30"/>
      <c r="L283" s="36">
        <v>738</v>
      </c>
      <c r="M283" s="98"/>
    </row>
    <row r="284" ht="16.7" customHeight="1" spans="1:13">
      <c r="A284" s="98"/>
      <c r="B284" s="7" t="s">
        <v>20</v>
      </c>
      <c r="C284" s="8"/>
      <c r="D284" s="9">
        <v>916</v>
      </c>
      <c r="E284" s="98"/>
      <c r="F284" s="7" t="s">
        <v>20</v>
      </c>
      <c r="G284" s="8"/>
      <c r="H284" s="9">
        <v>458</v>
      </c>
      <c r="I284" s="98"/>
      <c r="J284" s="7" t="s">
        <v>20</v>
      </c>
      <c r="K284" s="8"/>
      <c r="L284" s="9">
        <v>458</v>
      </c>
      <c r="M284" s="98"/>
    </row>
    <row r="285" ht="16.7" customHeight="1" spans="1:13">
      <c r="A285" s="98"/>
      <c r="B285" s="7"/>
      <c r="C285" s="8"/>
      <c r="D285" s="9"/>
      <c r="E285" s="98"/>
      <c r="F285" s="7"/>
      <c r="G285" s="8"/>
      <c r="H285" s="9"/>
      <c r="J285" s="7"/>
      <c r="K285" s="8"/>
      <c r="L285" s="9"/>
      <c r="M285" s="98"/>
    </row>
    <row r="286" ht="16.7" customHeight="1" spans="1:13">
      <c r="A286" s="98"/>
      <c r="B286" s="7" t="s">
        <v>33</v>
      </c>
      <c r="C286" s="21"/>
      <c r="D286" s="22"/>
      <c r="E286" s="98"/>
      <c r="F286" s="7" t="s">
        <v>33</v>
      </c>
      <c r="G286" s="21"/>
      <c r="H286" s="22"/>
      <c r="J286" s="7" t="s">
        <v>33</v>
      </c>
      <c r="K286" s="21"/>
      <c r="L286" s="22"/>
      <c r="M286" s="98"/>
    </row>
    <row r="287" ht="16.7" customHeight="1" spans="1:13">
      <c r="A287" s="98"/>
      <c r="B287" s="37" t="s">
        <v>21</v>
      </c>
      <c r="C287" s="38"/>
      <c r="D287" s="39">
        <f>SUM(D283:D286)</f>
        <v>1654</v>
      </c>
      <c r="E287" s="98"/>
      <c r="F287" s="37" t="s">
        <v>21</v>
      </c>
      <c r="G287" s="38"/>
      <c r="H287" s="39">
        <f>SUM(H283:H286)</f>
        <v>1196</v>
      </c>
      <c r="J287" s="37" t="s">
        <v>21</v>
      </c>
      <c r="K287" s="38"/>
      <c r="L287" s="39">
        <f>SUM(L283:L286)</f>
        <v>1196</v>
      </c>
      <c r="M287" s="98"/>
    </row>
    <row r="288" s="91" customFormat="1" ht="16.7" customHeight="1" spans="1:13">
      <c r="A288" s="102"/>
      <c r="B288" s="40" t="s">
        <v>22</v>
      </c>
      <c r="C288" s="41"/>
      <c r="D288" s="42">
        <f>D269</f>
        <v>29500</v>
      </c>
      <c r="E288" s="102"/>
      <c r="F288" s="40" t="s">
        <v>22</v>
      </c>
      <c r="G288" s="41"/>
      <c r="H288" s="42">
        <f>H269</f>
        <v>29500</v>
      </c>
      <c r="I288" s="108"/>
      <c r="J288" s="40" t="s">
        <v>22</v>
      </c>
      <c r="K288" s="41"/>
      <c r="L288" s="42">
        <f>L269</f>
        <v>29500</v>
      </c>
      <c r="M288" s="102"/>
    </row>
    <row r="289" s="92" customFormat="1" ht="16.7" customHeight="1" spans="1:13">
      <c r="A289" s="103"/>
      <c r="B289" s="43" t="s">
        <v>24</v>
      </c>
      <c r="C289" s="44"/>
      <c r="D289" s="45">
        <f>D282-D287-D288-D290</f>
        <v>12726</v>
      </c>
      <c r="E289" s="103"/>
      <c r="F289" s="43" t="s">
        <v>24</v>
      </c>
      <c r="G289" s="44"/>
      <c r="H289" s="45">
        <f>H282-H287-H288-H290</f>
        <v>11322</v>
      </c>
      <c r="I289" s="109"/>
      <c r="J289" s="43" t="s">
        <v>24</v>
      </c>
      <c r="K289" s="44"/>
      <c r="L289" s="45">
        <f>L282-L287-L288-L290</f>
        <v>11172</v>
      </c>
      <c r="M289" s="103"/>
    </row>
    <row r="290" ht="16.7" customHeight="1" spans="1:13">
      <c r="A290" s="98"/>
      <c r="B290" s="46" t="s">
        <v>25</v>
      </c>
      <c r="C290" s="47"/>
      <c r="D290" s="48">
        <f>D278</f>
        <v>1770</v>
      </c>
      <c r="E290" s="98"/>
      <c r="F290" s="46" t="s">
        <v>25</v>
      </c>
      <c r="G290" s="47"/>
      <c r="H290" s="48">
        <f>H278</f>
        <v>1770</v>
      </c>
      <c r="J290" s="46" t="s">
        <v>25</v>
      </c>
      <c r="K290" s="47"/>
      <c r="L290" s="48">
        <f>L278</f>
        <v>1770</v>
      </c>
      <c r="M290" s="98"/>
    </row>
    <row r="291" ht="16.7" customHeight="1" spans="1:15">
      <c r="A291" s="98"/>
      <c r="B291" s="62"/>
      <c r="C291" s="62"/>
      <c r="D291" s="98"/>
      <c r="E291" s="98"/>
      <c r="F291" s="62"/>
      <c r="G291" s="62"/>
      <c r="H291" s="98"/>
      <c r="J291" s="62"/>
      <c r="K291" s="62"/>
      <c r="L291" s="98"/>
      <c r="M291" s="98"/>
      <c r="O291" s="112">
        <f>D291+H291+L291</f>
        <v>0</v>
      </c>
    </row>
    <row r="292" s="90" customFormat="1" ht="16.7" customHeight="1" spans="1:13">
      <c r="A292" s="1"/>
      <c r="B292" s="1" t="s">
        <v>0</v>
      </c>
      <c r="C292" s="1"/>
      <c r="D292" s="1"/>
      <c r="E292" s="1"/>
      <c r="F292" s="1" t="s">
        <v>0</v>
      </c>
      <c r="G292" s="1"/>
      <c r="H292" s="1"/>
      <c r="J292" s="1" t="s">
        <v>0</v>
      </c>
      <c r="K292" s="1"/>
      <c r="L292" s="1"/>
      <c r="M292" s="110"/>
    </row>
    <row r="293" ht="16.7" customHeight="1" spans="1:13">
      <c r="A293" s="97"/>
      <c r="B293" s="2" t="s">
        <v>2</v>
      </c>
      <c r="C293" s="2"/>
      <c r="D293" s="3" t="s">
        <v>60</v>
      </c>
      <c r="E293" s="97"/>
      <c r="F293" s="2" t="s">
        <v>2</v>
      </c>
      <c r="G293" s="2"/>
      <c r="H293" s="3" t="s">
        <v>61</v>
      </c>
      <c r="J293" s="2" t="s">
        <v>2</v>
      </c>
      <c r="K293" s="2"/>
      <c r="L293" s="3" t="s">
        <v>62</v>
      </c>
      <c r="M293" s="111"/>
    </row>
    <row r="294" ht="16.7" customHeight="1" spans="1:13">
      <c r="A294" s="98"/>
      <c r="B294" s="4" t="s">
        <v>5</v>
      </c>
      <c r="C294" s="5">
        <v>30</v>
      </c>
      <c r="D294" s="6">
        <v>33300</v>
      </c>
      <c r="E294" s="98"/>
      <c r="F294" s="4" t="s">
        <v>5</v>
      </c>
      <c r="G294" s="5">
        <v>30</v>
      </c>
      <c r="H294" s="6">
        <v>36300</v>
      </c>
      <c r="J294" s="4" t="s">
        <v>5</v>
      </c>
      <c r="K294" s="5">
        <v>30</v>
      </c>
      <c r="L294" s="6">
        <v>33300</v>
      </c>
      <c r="M294" s="98"/>
    </row>
    <row r="295" ht="16.5" customHeight="1" spans="1:13">
      <c r="A295" s="98"/>
      <c r="B295" s="7"/>
      <c r="C295" s="8"/>
      <c r="D295" s="9"/>
      <c r="E295" s="98"/>
      <c r="F295" s="7"/>
      <c r="G295" s="8"/>
      <c r="H295" s="9"/>
      <c r="J295" s="7"/>
      <c r="K295" s="8"/>
      <c r="L295" s="9"/>
      <c r="M295" s="98"/>
    </row>
    <row r="296" ht="16.7" customHeight="1" spans="1:13">
      <c r="A296" s="98"/>
      <c r="B296" s="7"/>
      <c r="C296" s="8"/>
      <c r="D296" s="9"/>
      <c r="E296" s="98"/>
      <c r="F296" s="7"/>
      <c r="G296" s="8"/>
      <c r="H296" s="9"/>
      <c r="J296" s="7"/>
      <c r="K296" s="8"/>
      <c r="L296" s="9"/>
      <c r="M296" s="98"/>
    </row>
    <row r="297" ht="16.7" customHeight="1" spans="1:13">
      <c r="A297" s="98"/>
      <c r="B297" s="10" t="s">
        <v>6</v>
      </c>
      <c r="C297" s="11"/>
      <c r="D297" s="12"/>
      <c r="E297" s="98"/>
      <c r="F297" s="10" t="s">
        <v>6</v>
      </c>
      <c r="G297" s="11"/>
      <c r="H297" s="12"/>
      <c r="J297" s="10" t="s">
        <v>6</v>
      </c>
      <c r="K297" s="11"/>
      <c r="L297" s="12"/>
      <c r="M297" s="98"/>
    </row>
    <row r="298" ht="16.7" customHeight="1" spans="1:13">
      <c r="A298" s="98"/>
      <c r="B298" s="13" t="s">
        <v>7</v>
      </c>
      <c r="C298" s="14"/>
      <c r="D298" s="15">
        <f>SUM(D294:D297)</f>
        <v>33300</v>
      </c>
      <c r="E298" s="98"/>
      <c r="F298" s="13" t="s">
        <v>7</v>
      </c>
      <c r="G298" s="14"/>
      <c r="H298" s="15">
        <f>SUM(H294:H297)</f>
        <v>36300</v>
      </c>
      <c r="J298" s="13" t="s">
        <v>7</v>
      </c>
      <c r="K298" s="14"/>
      <c r="L298" s="15">
        <f>SUM(L294:L297)</f>
        <v>33300</v>
      </c>
      <c r="M298" s="98"/>
    </row>
    <row r="299" ht="16.7" customHeight="1" spans="1:13">
      <c r="A299" s="98"/>
      <c r="B299" s="16" t="s">
        <v>8</v>
      </c>
      <c r="C299" s="17"/>
      <c r="D299" s="18"/>
      <c r="E299" s="98"/>
      <c r="F299" s="16" t="s">
        <v>8</v>
      </c>
      <c r="G299" s="17"/>
      <c r="H299" s="18"/>
      <c r="J299" s="16" t="s">
        <v>8</v>
      </c>
      <c r="K299" s="17"/>
      <c r="L299" s="18"/>
      <c r="M299" s="98"/>
    </row>
    <row r="300" ht="16.7" customHeight="1" spans="1:13">
      <c r="A300" s="98"/>
      <c r="B300" s="7" t="s">
        <v>9</v>
      </c>
      <c r="C300" s="19"/>
      <c r="D300" s="9"/>
      <c r="E300" s="98"/>
      <c r="F300" s="7" t="s">
        <v>9</v>
      </c>
      <c r="G300" s="19"/>
      <c r="H300" s="9"/>
      <c r="J300" s="7" t="s">
        <v>9</v>
      </c>
      <c r="K300" s="19"/>
      <c r="L300" s="9"/>
      <c r="M300" s="98"/>
    </row>
    <row r="301" ht="16.7" customHeight="1" spans="1:13">
      <c r="A301" s="98"/>
      <c r="B301" s="7" t="s">
        <v>10</v>
      </c>
      <c r="C301" s="8"/>
      <c r="D301" s="9"/>
      <c r="E301" s="98"/>
      <c r="F301" s="7" t="s">
        <v>10</v>
      </c>
      <c r="G301" s="8"/>
      <c r="H301" s="9"/>
      <c r="J301" s="7" t="s">
        <v>10</v>
      </c>
      <c r="K301" s="8"/>
      <c r="L301" s="9"/>
      <c r="M301" s="98"/>
    </row>
    <row r="302" s="93" customFormat="1" ht="16.7" customHeight="1" spans="1:13">
      <c r="A302" s="116"/>
      <c r="B302" s="7"/>
      <c r="C302" s="19"/>
      <c r="D302" s="9"/>
      <c r="E302" s="116"/>
      <c r="F302" s="7"/>
      <c r="G302" s="19"/>
      <c r="H302" s="9"/>
      <c r="I302" s="117"/>
      <c r="J302" s="7"/>
      <c r="K302" s="19"/>
      <c r="L302" s="9"/>
      <c r="M302" s="116"/>
    </row>
    <row r="303" ht="16.7" customHeight="1" spans="1:13">
      <c r="A303" s="98"/>
      <c r="B303" s="20"/>
      <c r="C303" s="21"/>
      <c r="D303" s="22"/>
      <c r="E303" s="98"/>
      <c r="F303" s="20"/>
      <c r="G303" s="21"/>
      <c r="H303" s="22"/>
      <c r="J303" s="20"/>
      <c r="K303" s="21"/>
      <c r="L303" s="22"/>
      <c r="M303" s="98"/>
    </row>
    <row r="304" ht="16.7" customHeight="1" spans="1:13">
      <c r="A304" s="98"/>
      <c r="B304" s="23" t="s">
        <v>11</v>
      </c>
      <c r="C304" s="24"/>
      <c r="D304" s="25">
        <f>SUM(D299:D303)</f>
        <v>0</v>
      </c>
      <c r="E304" s="98"/>
      <c r="F304" s="23" t="s">
        <v>11</v>
      </c>
      <c r="G304" s="24"/>
      <c r="H304" s="25">
        <f>SUM(H299:H303)</f>
        <v>0</v>
      </c>
      <c r="J304" s="23" t="s">
        <v>11</v>
      </c>
      <c r="K304" s="24"/>
      <c r="L304" s="25">
        <f>SUM(L299:L303)</f>
        <v>0</v>
      </c>
      <c r="M304" s="98"/>
    </row>
    <row r="305" ht="16.7" customHeight="1" spans="1:13">
      <c r="A305" s="98"/>
      <c r="B305" s="7" t="s">
        <v>12</v>
      </c>
      <c r="C305" s="19">
        <v>20</v>
      </c>
      <c r="D305" s="26"/>
      <c r="E305" s="98"/>
      <c r="F305" s="7" t="s">
        <v>12</v>
      </c>
      <c r="G305" s="19">
        <v>20</v>
      </c>
      <c r="H305" s="26"/>
      <c r="J305" s="7" t="s">
        <v>12</v>
      </c>
      <c r="K305" s="19">
        <v>20</v>
      </c>
      <c r="L305" s="26"/>
      <c r="M305" s="98"/>
    </row>
    <row r="306" ht="16.7" customHeight="1" spans="1:13">
      <c r="A306" s="98"/>
      <c r="B306" s="27" t="s">
        <v>13</v>
      </c>
      <c r="C306" s="11"/>
      <c r="D306" s="28">
        <f>D304*C305</f>
        <v>0</v>
      </c>
      <c r="E306" s="98"/>
      <c r="F306" s="27" t="s">
        <v>13</v>
      </c>
      <c r="G306" s="11"/>
      <c r="H306" s="28">
        <f>H304*G305</f>
        <v>0</v>
      </c>
      <c r="J306" s="27" t="s">
        <v>13</v>
      </c>
      <c r="K306" s="11"/>
      <c r="L306" s="28">
        <f>L304*K305</f>
        <v>0</v>
      </c>
      <c r="M306" s="98"/>
    </row>
    <row r="307" ht="16.7" customHeight="1" spans="1:13">
      <c r="A307" s="98"/>
      <c r="B307" s="29" t="s">
        <v>14</v>
      </c>
      <c r="C307" s="30"/>
      <c r="D307" s="31">
        <f>D294*0.06</f>
        <v>1998</v>
      </c>
      <c r="E307" s="98"/>
      <c r="F307" s="29" t="s">
        <v>14</v>
      </c>
      <c r="G307" s="30"/>
      <c r="H307" s="31">
        <f>H294*0.06</f>
        <v>2178</v>
      </c>
      <c r="J307" s="29" t="s">
        <v>14</v>
      </c>
      <c r="K307" s="30"/>
      <c r="L307" s="31">
        <f>L294*0.06</f>
        <v>1998</v>
      </c>
      <c r="M307" s="98"/>
    </row>
    <row r="308" ht="16.7" customHeight="1" spans="1:13">
      <c r="A308" s="98"/>
      <c r="B308" s="7" t="s">
        <v>63</v>
      </c>
      <c r="C308" s="32"/>
      <c r="D308" s="9">
        <v>26700</v>
      </c>
      <c r="E308" s="98"/>
      <c r="F308" s="7" t="s">
        <v>63</v>
      </c>
      <c r="G308" s="8"/>
      <c r="H308" s="9">
        <v>23700</v>
      </c>
      <c r="J308" s="7" t="s">
        <v>63</v>
      </c>
      <c r="K308" s="8"/>
      <c r="L308" s="9">
        <v>26700</v>
      </c>
      <c r="M308" s="98"/>
    </row>
    <row r="309" ht="16.7" customHeight="1" spans="1:13">
      <c r="A309" s="98"/>
      <c r="B309" s="7"/>
      <c r="C309" s="32"/>
      <c r="D309" s="9"/>
      <c r="E309" s="98"/>
      <c r="F309" s="7"/>
      <c r="G309" s="32"/>
      <c r="H309" s="9"/>
      <c r="J309" s="7"/>
      <c r="K309" s="32"/>
      <c r="L309" s="9"/>
      <c r="M309" s="98"/>
    </row>
    <row r="310" ht="16.7" customHeight="1" spans="1:13">
      <c r="A310" s="98"/>
      <c r="B310" s="104" t="s">
        <v>31</v>
      </c>
      <c r="C310" s="17"/>
      <c r="D310" s="18">
        <v>200</v>
      </c>
      <c r="E310" s="98"/>
      <c r="F310" s="104"/>
      <c r="G310" s="17"/>
      <c r="H310" s="18"/>
      <c r="J310" s="104" t="s">
        <v>31</v>
      </c>
      <c r="K310" s="17"/>
      <c r="L310" s="18">
        <v>2200</v>
      </c>
      <c r="M310" s="98"/>
    </row>
    <row r="311" ht="16.7" customHeight="1" spans="1:13">
      <c r="A311" s="98"/>
      <c r="B311" s="33" t="s">
        <v>18</v>
      </c>
      <c r="C311" s="34"/>
      <c r="D311" s="35">
        <f>D298+D306+D307+D308+D309+D310</f>
        <v>62198</v>
      </c>
      <c r="E311" s="98"/>
      <c r="F311" s="33" t="s">
        <v>18</v>
      </c>
      <c r="G311" s="34"/>
      <c r="H311" s="35">
        <f>H298+H306+H307+H308+H309+H310</f>
        <v>62178</v>
      </c>
      <c r="J311" s="33" t="s">
        <v>18</v>
      </c>
      <c r="K311" s="34"/>
      <c r="L311" s="35">
        <f>L298+L306+L307+L308+L309+L310</f>
        <v>64198</v>
      </c>
      <c r="M311" s="98"/>
    </row>
    <row r="312" ht="16.7" customHeight="1" spans="1:13">
      <c r="A312" s="98"/>
      <c r="B312" s="29" t="s">
        <v>19</v>
      </c>
      <c r="C312" s="30"/>
      <c r="D312" s="36">
        <v>833</v>
      </c>
      <c r="E312" s="98"/>
      <c r="F312" s="29" t="s">
        <v>19</v>
      </c>
      <c r="G312" s="30"/>
      <c r="H312" s="36">
        <v>908</v>
      </c>
      <c r="J312" s="29" t="s">
        <v>19</v>
      </c>
      <c r="K312" s="30"/>
      <c r="L312" s="36">
        <v>833</v>
      </c>
      <c r="M312" s="98"/>
    </row>
    <row r="313" ht="16.7" customHeight="1" spans="1:13">
      <c r="A313" s="98"/>
      <c r="B313" s="7" t="s">
        <v>20</v>
      </c>
      <c r="C313" s="8"/>
      <c r="D313" s="9">
        <v>1548</v>
      </c>
      <c r="E313" s="98"/>
      <c r="F313" s="7" t="s">
        <v>20</v>
      </c>
      <c r="G313" s="8"/>
      <c r="H313" s="9">
        <v>563</v>
      </c>
      <c r="I313" s="98"/>
      <c r="J313" s="7" t="s">
        <v>20</v>
      </c>
      <c r="K313" s="8"/>
      <c r="L313" s="9">
        <v>1032</v>
      </c>
      <c r="M313" s="98"/>
    </row>
    <row r="314" ht="16.7" customHeight="1" spans="1:13">
      <c r="A314" s="98"/>
      <c r="B314" s="7"/>
      <c r="C314" s="8"/>
      <c r="D314" s="9"/>
      <c r="E314" s="98"/>
      <c r="F314" s="7"/>
      <c r="G314" s="8"/>
      <c r="H314" s="9"/>
      <c r="J314" s="7"/>
      <c r="K314" s="8"/>
      <c r="L314" s="9"/>
      <c r="M314" s="98"/>
    </row>
    <row r="315" ht="16.7" customHeight="1" spans="1:13">
      <c r="A315" s="98"/>
      <c r="B315" s="7" t="s">
        <v>33</v>
      </c>
      <c r="C315" s="21"/>
      <c r="D315" s="22">
        <v>1040</v>
      </c>
      <c r="E315" s="98"/>
      <c r="F315" s="7" t="s">
        <v>33</v>
      </c>
      <c r="G315" s="21"/>
      <c r="H315" s="22">
        <v>790</v>
      </c>
      <c r="J315" s="7" t="s">
        <v>33</v>
      </c>
      <c r="K315" s="21"/>
      <c r="L315" s="22"/>
      <c r="M315" s="98"/>
    </row>
    <row r="316" ht="16.7" customHeight="1" spans="1:13">
      <c r="A316" s="98"/>
      <c r="B316" s="37" t="s">
        <v>21</v>
      </c>
      <c r="C316" s="38"/>
      <c r="D316" s="39">
        <f>SUM(D312:D315)</f>
        <v>3421</v>
      </c>
      <c r="E316" s="98"/>
      <c r="F316" s="37" t="s">
        <v>21</v>
      </c>
      <c r="G316" s="38"/>
      <c r="H316" s="39">
        <f>SUM(H312:H315)</f>
        <v>2261</v>
      </c>
      <c r="J316" s="37" t="s">
        <v>21</v>
      </c>
      <c r="K316" s="38"/>
      <c r="L316" s="39">
        <f>SUM(L312:L315)</f>
        <v>1865</v>
      </c>
      <c r="M316" s="98"/>
    </row>
    <row r="317" s="91" customFormat="1" ht="16.7" customHeight="1" spans="1:13">
      <c r="A317" s="102"/>
      <c r="B317" s="40" t="s">
        <v>22</v>
      </c>
      <c r="C317" s="41"/>
      <c r="D317" s="42">
        <f>D298</f>
        <v>33300</v>
      </c>
      <c r="E317" s="102"/>
      <c r="F317" s="40" t="s">
        <v>22</v>
      </c>
      <c r="G317" s="41"/>
      <c r="H317" s="42">
        <f>H298</f>
        <v>36300</v>
      </c>
      <c r="I317" s="108"/>
      <c r="J317" s="40" t="s">
        <v>22</v>
      </c>
      <c r="K317" s="41"/>
      <c r="L317" s="42">
        <f>L298</f>
        <v>33300</v>
      </c>
      <c r="M317" s="102"/>
    </row>
    <row r="318" s="92" customFormat="1" ht="16.7" customHeight="1" spans="1:13">
      <c r="A318" s="103"/>
      <c r="B318" s="43" t="s">
        <v>24</v>
      </c>
      <c r="C318" s="44"/>
      <c r="D318" s="45">
        <f>D311-D316-D317-D319</f>
        <v>23479</v>
      </c>
      <c r="E318" s="103"/>
      <c r="F318" s="43" t="s">
        <v>24</v>
      </c>
      <c r="G318" s="44"/>
      <c r="H318" s="45">
        <f>H311-H316-H317-H319</f>
        <v>21439</v>
      </c>
      <c r="I318" s="109"/>
      <c r="J318" s="43" t="s">
        <v>24</v>
      </c>
      <c r="K318" s="44"/>
      <c r="L318" s="45">
        <f>L311-L316-L317-L319</f>
        <v>27035</v>
      </c>
      <c r="M318" s="103"/>
    </row>
    <row r="319" ht="16.7" customHeight="1" spans="1:13">
      <c r="A319" s="98"/>
      <c r="B319" s="46" t="s">
        <v>25</v>
      </c>
      <c r="C319" s="47"/>
      <c r="D319" s="48">
        <f>D307</f>
        <v>1998</v>
      </c>
      <c r="E319" s="98"/>
      <c r="F319" s="46" t="s">
        <v>25</v>
      </c>
      <c r="G319" s="47"/>
      <c r="H319" s="48">
        <f>H307</f>
        <v>2178</v>
      </c>
      <c r="J319" s="46" t="s">
        <v>25</v>
      </c>
      <c r="K319" s="47"/>
      <c r="L319" s="48">
        <f>L307</f>
        <v>1998</v>
      </c>
      <c r="M319" s="98"/>
    </row>
    <row r="320" ht="16.7" customHeight="1" spans="1:15">
      <c r="A320" s="98"/>
      <c r="B320" s="62"/>
      <c r="C320" s="62"/>
      <c r="D320" s="98"/>
      <c r="E320" s="98"/>
      <c r="F320" s="62"/>
      <c r="G320" s="62"/>
      <c r="H320" s="98"/>
      <c r="J320" s="62"/>
      <c r="K320" s="62"/>
      <c r="L320" s="98"/>
      <c r="M320" s="98"/>
      <c r="O320" s="112">
        <f>D320+H320+L320</f>
        <v>0</v>
      </c>
    </row>
    <row r="321" s="90" customFormat="1" ht="16.7" customHeight="1" spans="1:13">
      <c r="A321" s="1"/>
      <c r="B321" s="1" t="s">
        <v>0</v>
      </c>
      <c r="C321" s="1"/>
      <c r="D321" s="1"/>
      <c r="E321" s="1"/>
      <c r="F321" s="1" t="s">
        <v>0</v>
      </c>
      <c r="G321" s="1"/>
      <c r="H321" s="1"/>
      <c r="J321" s="1" t="s">
        <v>0</v>
      </c>
      <c r="K321" s="1"/>
      <c r="L321" s="1"/>
      <c r="M321" s="110"/>
    </row>
    <row r="322" ht="16.7" customHeight="1" spans="1:13">
      <c r="A322" s="97"/>
      <c r="B322" s="2" t="s">
        <v>2</v>
      </c>
      <c r="C322" s="2"/>
      <c r="D322" s="3" t="s">
        <v>64</v>
      </c>
      <c r="E322" s="97"/>
      <c r="F322" s="2" t="s">
        <v>2</v>
      </c>
      <c r="G322" s="2"/>
      <c r="H322" s="3" t="s">
        <v>65</v>
      </c>
      <c r="J322" s="2" t="s">
        <v>2</v>
      </c>
      <c r="K322" s="2"/>
      <c r="L322" s="3" t="s">
        <v>66</v>
      </c>
      <c r="M322" s="111"/>
    </row>
    <row r="323" ht="16.7" customHeight="1" spans="1:13">
      <c r="A323" s="98"/>
      <c r="B323" s="4" t="s">
        <v>5</v>
      </c>
      <c r="C323" s="5">
        <v>30</v>
      </c>
      <c r="D323" s="6">
        <v>33300</v>
      </c>
      <c r="E323" s="98"/>
      <c r="F323" s="4" t="s">
        <v>5</v>
      </c>
      <c r="G323" s="5">
        <v>30</v>
      </c>
      <c r="H323" s="6">
        <v>33300</v>
      </c>
      <c r="J323" s="4" t="s">
        <v>5</v>
      </c>
      <c r="K323" s="5">
        <v>30</v>
      </c>
      <c r="L323" s="6">
        <v>33300</v>
      </c>
      <c r="M323" s="98"/>
    </row>
    <row r="324" ht="16.5" customHeight="1" spans="1:13">
      <c r="A324" s="98"/>
      <c r="B324" s="7"/>
      <c r="C324" s="8"/>
      <c r="D324" s="9"/>
      <c r="E324" s="98"/>
      <c r="F324" s="7"/>
      <c r="G324" s="8"/>
      <c r="H324" s="9"/>
      <c r="J324" s="7"/>
      <c r="K324" s="8"/>
      <c r="L324" s="9"/>
      <c r="M324" s="98"/>
    </row>
    <row r="325" ht="16.7" customHeight="1" spans="1:13">
      <c r="A325" s="98"/>
      <c r="B325" s="7"/>
      <c r="C325" s="8"/>
      <c r="D325" s="9"/>
      <c r="E325" s="98"/>
      <c r="F325" s="7"/>
      <c r="G325" s="8"/>
      <c r="H325" s="9"/>
      <c r="J325" s="7"/>
      <c r="K325" s="8"/>
      <c r="L325" s="9"/>
      <c r="M325" s="98"/>
    </row>
    <row r="326" ht="16.7" customHeight="1" spans="1:13">
      <c r="A326" s="98"/>
      <c r="B326" s="10" t="s">
        <v>6</v>
      </c>
      <c r="C326" s="11"/>
      <c r="D326" s="12"/>
      <c r="E326" s="98"/>
      <c r="F326" s="10" t="s">
        <v>6</v>
      </c>
      <c r="G326" s="11"/>
      <c r="H326" s="12"/>
      <c r="J326" s="10" t="s">
        <v>6</v>
      </c>
      <c r="K326" s="11"/>
      <c r="L326" s="12"/>
      <c r="M326" s="98"/>
    </row>
    <row r="327" ht="16.7" customHeight="1" spans="1:13">
      <c r="A327" s="98"/>
      <c r="B327" s="13" t="s">
        <v>7</v>
      </c>
      <c r="C327" s="14"/>
      <c r="D327" s="15">
        <f>SUM(D323:D326)</f>
        <v>33300</v>
      </c>
      <c r="E327" s="98"/>
      <c r="F327" s="13" t="s">
        <v>7</v>
      </c>
      <c r="G327" s="14"/>
      <c r="H327" s="15">
        <f>SUM(H323:H326)</f>
        <v>33300</v>
      </c>
      <c r="J327" s="13" t="s">
        <v>7</v>
      </c>
      <c r="K327" s="14"/>
      <c r="L327" s="15">
        <f>SUM(L323:L326)</f>
        <v>33300</v>
      </c>
      <c r="M327" s="98"/>
    </row>
    <row r="328" ht="16.7" customHeight="1" spans="1:13">
      <c r="A328" s="98"/>
      <c r="B328" s="16" t="s">
        <v>8</v>
      </c>
      <c r="C328" s="17"/>
      <c r="D328" s="18"/>
      <c r="E328" s="98"/>
      <c r="F328" s="16" t="s">
        <v>8</v>
      </c>
      <c r="G328" s="17"/>
      <c r="H328" s="18"/>
      <c r="J328" s="16" t="s">
        <v>8</v>
      </c>
      <c r="K328" s="17"/>
      <c r="L328" s="18"/>
      <c r="M328" s="98"/>
    </row>
    <row r="329" ht="16.7" customHeight="1" spans="1:13">
      <c r="A329" s="98"/>
      <c r="B329" s="7" t="s">
        <v>9</v>
      </c>
      <c r="C329" s="19"/>
      <c r="D329" s="9"/>
      <c r="E329" s="98"/>
      <c r="F329" s="7" t="s">
        <v>9</v>
      </c>
      <c r="G329" s="19"/>
      <c r="H329" s="9"/>
      <c r="J329" s="7" t="s">
        <v>9</v>
      </c>
      <c r="K329" s="19"/>
      <c r="L329" s="9"/>
      <c r="M329" s="98"/>
    </row>
    <row r="330" ht="16.7" customHeight="1" spans="1:13">
      <c r="A330" s="98"/>
      <c r="B330" s="7" t="s">
        <v>10</v>
      </c>
      <c r="C330" s="8"/>
      <c r="D330" s="9"/>
      <c r="E330" s="98"/>
      <c r="F330" s="7" t="s">
        <v>10</v>
      </c>
      <c r="G330" s="8"/>
      <c r="H330" s="9"/>
      <c r="J330" s="7" t="s">
        <v>10</v>
      </c>
      <c r="K330" s="8"/>
      <c r="L330" s="9"/>
      <c r="M330" s="98"/>
    </row>
    <row r="331" s="93" customFormat="1" ht="16.7" customHeight="1" spans="1:13">
      <c r="A331" s="116"/>
      <c r="B331" s="7"/>
      <c r="C331" s="19"/>
      <c r="D331" s="9"/>
      <c r="E331" s="116"/>
      <c r="F331" s="7"/>
      <c r="G331" s="19"/>
      <c r="H331" s="9"/>
      <c r="I331" s="117"/>
      <c r="J331" s="7"/>
      <c r="K331" s="19"/>
      <c r="L331" s="9"/>
      <c r="M331" s="116"/>
    </row>
    <row r="332" ht="16.7" customHeight="1" spans="1:13">
      <c r="A332" s="98"/>
      <c r="B332" s="20"/>
      <c r="C332" s="21"/>
      <c r="D332" s="22"/>
      <c r="E332" s="98"/>
      <c r="F332" s="20"/>
      <c r="G332" s="21"/>
      <c r="H332" s="22"/>
      <c r="J332" s="20"/>
      <c r="K332" s="21"/>
      <c r="L332" s="22"/>
      <c r="M332" s="98"/>
    </row>
    <row r="333" ht="16.7" customHeight="1" spans="1:13">
      <c r="A333" s="98"/>
      <c r="B333" s="23" t="s">
        <v>11</v>
      </c>
      <c r="C333" s="24"/>
      <c r="D333" s="25">
        <f>SUM(D328:D332)</f>
        <v>0</v>
      </c>
      <c r="E333" s="98"/>
      <c r="F333" s="23" t="s">
        <v>11</v>
      </c>
      <c r="G333" s="24"/>
      <c r="H333" s="25">
        <f>SUM(H328:H332)</f>
        <v>0</v>
      </c>
      <c r="J333" s="23" t="s">
        <v>11</v>
      </c>
      <c r="K333" s="24"/>
      <c r="L333" s="25">
        <f>SUM(L328:L332)</f>
        <v>0</v>
      </c>
      <c r="M333" s="98"/>
    </row>
    <row r="334" ht="16.7" customHeight="1" spans="1:13">
      <c r="A334" s="98"/>
      <c r="B334" s="7" t="s">
        <v>12</v>
      </c>
      <c r="C334" s="19">
        <v>20</v>
      </c>
      <c r="D334" s="26"/>
      <c r="E334" s="98"/>
      <c r="F334" s="7" t="s">
        <v>12</v>
      </c>
      <c r="G334" s="19">
        <v>19</v>
      </c>
      <c r="H334" s="26"/>
      <c r="J334" s="7" t="s">
        <v>12</v>
      </c>
      <c r="K334" s="19">
        <v>20</v>
      </c>
      <c r="L334" s="26"/>
      <c r="M334" s="98"/>
    </row>
    <row r="335" ht="16.7" customHeight="1" spans="1:13">
      <c r="A335" s="98"/>
      <c r="B335" s="27" t="s">
        <v>13</v>
      </c>
      <c r="C335" s="11"/>
      <c r="D335" s="28">
        <f>D333*C334</f>
        <v>0</v>
      </c>
      <c r="E335" s="98"/>
      <c r="F335" s="27" t="s">
        <v>13</v>
      </c>
      <c r="G335" s="11"/>
      <c r="H335" s="28">
        <f>H333*G334</f>
        <v>0</v>
      </c>
      <c r="J335" s="27" t="s">
        <v>13</v>
      </c>
      <c r="K335" s="11"/>
      <c r="L335" s="28">
        <f>L333*K334</f>
        <v>0</v>
      </c>
      <c r="M335" s="98"/>
    </row>
    <row r="336" ht="16.7" customHeight="1" spans="1:13">
      <c r="A336" s="98"/>
      <c r="B336" s="29" t="s">
        <v>14</v>
      </c>
      <c r="C336" s="30"/>
      <c r="D336" s="31">
        <f>D323*0.06</f>
        <v>1998</v>
      </c>
      <c r="E336" s="98"/>
      <c r="F336" s="29" t="s">
        <v>14</v>
      </c>
      <c r="G336" s="30"/>
      <c r="H336" s="31">
        <f>H323*0.06</f>
        <v>1998</v>
      </c>
      <c r="J336" s="29" t="s">
        <v>14</v>
      </c>
      <c r="K336" s="30"/>
      <c r="L336" s="31">
        <f>L323*0.06</f>
        <v>1998</v>
      </c>
      <c r="M336" s="98"/>
    </row>
    <row r="337" ht="16.7" customHeight="1" spans="1:13">
      <c r="A337" s="98"/>
      <c r="B337" s="7" t="s">
        <v>63</v>
      </c>
      <c r="C337" s="8"/>
      <c r="D337" s="9">
        <v>26700</v>
      </c>
      <c r="E337" s="98"/>
      <c r="F337" s="7" t="s">
        <v>63</v>
      </c>
      <c r="G337" s="8"/>
      <c r="H337" s="9">
        <v>20700</v>
      </c>
      <c r="J337" s="7" t="s">
        <v>63</v>
      </c>
      <c r="K337" s="8"/>
      <c r="L337" s="9">
        <v>18700</v>
      </c>
      <c r="M337" s="98"/>
    </row>
    <row r="338" ht="16.7" customHeight="1" spans="1:13">
      <c r="A338" s="98"/>
      <c r="B338" s="7"/>
      <c r="C338" s="32"/>
      <c r="D338" s="9"/>
      <c r="E338" s="98"/>
      <c r="F338" s="7"/>
      <c r="G338" s="32"/>
      <c r="H338" s="9"/>
      <c r="J338" s="7"/>
      <c r="K338" s="32"/>
      <c r="L338" s="9"/>
      <c r="M338" s="98"/>
    </row>
    <row r="339" ht="16.7" customHeight="1" spans="1:13">
      <c r="A339" s="98"/>
      <c r="B339" s="104" t="s">
        <v>31</v>
      </c>
      <c r="C339" s="17"/>
      <c r="D339" s="18"/>
      <c r="E339" s="98"/>
      <c r="F339" s="104" t="s">
        <v>31</v>
      </c>
      <c r="G339" s="17"/>
      <c r="H339" s="18">
        <v>1326</v>
      </c>
      <c r="J339" s="104" t="s">
        <v>31</v>
      </c>
      <c r="K339" s="17"/>
      <c r="L339" s="18">
        <v>2756</v>
      </c>
      <c r="M339" s="98"/>
    </row>
    <row r="340" ht="16.7" customHeight="1" spans="1:13">
      <c r="A340" s="98"/>
      <c r="B340" s="33" t="s">
        <v>18</v>
      </c>
      <c r="C340" s="34"/>
      <c r="D340" s="35">
        <f>D327+D335+D336+D337+D338+D339</f>
        <v>61998</v>
      </c>
      <c r="E340" s="98"/>
      <c r="F340" s="33" t="s">
        <v>18</v>
      </c>
      <c r="G340" s="34"/>
      <c r="H340" s="35">
        <f>H327+H335+H336+H337+H338+H339</f>
        <v>57324</v>
      </c>
      <c r="J340" s="33" t="s">
        <v>18</v>
      </c>
      <c r="K340" s="34"/>
      <c r="L340" s="35">
        <f>L327+L335+L336+L337+L338+L339</f>
        <v>56754</v>
      </c>
      <c r="M340" s="98"/>
    </row>
    <row r="341" ht="16.7" customHeight="1" spans="1:13">
      <c r="A341" s="98"/>
      <c r="B341" s="29" t="s">
        <v>19</v>
      </c>
      <c r="C341" s="30"/>
      <c r="D341" s="36">
        <v>833</v>
      </c>
      <c r="E341" s="98"/>
      <c r="F341" s="29" t="s">
        <v>19</v>
      </c>
      <c r="G341" s="30"/>
      <c r="H341" s="36">
        <v>833</v>
      </c>
      <c r="J341" s="29" t="s">
        <v>19</v>
      </c>
      <c r="K341" s="30"/>
      <c r="L341" s="36">
        <v>833</v>
      </c>
      <c r="M341" s="98"/>
    </row>
    <row r="342" ht="16.7" customHeight="1" spans="1:13">
      <c r="A342" s="98"/>
      <c r="B342" s="7" t="s">
        <v>20</v>
      </c>
      <c r="C342" s="8"/>
      <c r="D342" s="9">
        <v>516</v>
      </c>
      <c r="E342" s="98"/>
      <c r="F342" s="7" t="s">
        <v>20</v>
      </c>
      <c r="G342" s="8"/>
      <c r="H342" s="9">
        <v>516</v>
      </c>
      <c r="I342" s="98"/>
      <c r="J342" s="7" t="s">
        <v>20</v>
      </c>
      <c r="K342" s="8"/>
      <c r="L342" s="9">
        <v>516</v>
      </c>
      <c r="M342" s="98"/>
    </row>
    <row r="343" ht="16.7" customHeight="1" spans="1:13">
      <c r="A343" s="98"/>
      <c r="B343" s="7"/>
      <c r="C343" s="8"/>
      <c r="D343" s="9"/>
      <c r="E343" s="98"/>
      <c r="F343" s="7"/>
      <c r="G343" s="8"/>
      <c r="H343" s="9"/>
      <c r="J343" s="7"/>
      <c r="K343" s="8"/>
      <c r="L343" s="9"/>
      <c r="M343" s="98"/>
    </row>
    <row r="344" ht="16.7" customHeight="1" spans="1:13">
      <c r="A344" s="98"/>
      <c r="B344" s="7" t="s">
        <v>33</v>
      </c>
      <c r="C344" s="21"/>
      <c r="D344" s="22">
        <v>861</v>
      </c>
      <c r="E344" s="98"/>
      <c r="F344" s="7" t="s">
        <v>33</v>
      </c>
      <c r="G344" s="21"/>
      <c r="H344" s="22">
        <v>130</v>
      </c>
      <c r="J344" s="7" t="s">
        <v>33</v>
      </c>
      <c r="K344" s="21"/>
      <c r="L344" s="22"/>
      <c r="M344" s="98"/>
    </row>
    <row r="345" ht="16.7" customHeight="1" spans="1:13">
      <c r="A345" s="98"/>
      <c r="B345" s="37" t="s">
        <v>21</v>
      </c>
      <c r="C345" s="38"/>
      <c r="D345" s="39">
        <f>SUM(D341:D344)</f>
        <v>2210</v>
      </c>
      <c r="E345" s="98"/>
      <c r="F345" s="37" t="s">
        <v>21</v>
      </c>
      <c r="G345" s="38"/>
      <c r="H345" s="39">
        <f>SUM(H341:H344)</f>
        <v>1479</v>
      </c>
      <c r="J345" s="37" t="s">
        <v>21</v>
      </c>
      <c r="K345" s="38"/>
      <c r="L345" s="39">
        <f>SUM(L341:L344)</f>
        <v>1349</v>
      </c>
      <c r="M345" s="98"/>
    </row>
    <row r="346" s="91" customFormat="1" ht="16.7" customHeight="1" spans="1:13">
      <c r="A346" s="102"/>
      <c r="B346" s="40" t="s">
        <v>22</v>
      </c>
      <c r="C346" s="41"/>
      <c r="D346" s="42">
        <f>D327</f>
        <v>33300</v>
      </c>
      <c r="E346" s="102"/>
      <c r="F346" s="40" t="s">
        <v>22</v>
      </c>
      <c r="G346" s="41"/>
      <c r="H346" s="42">
        <f>H327</f>
        <v>33300</v>
      </c>
      <c r="I346" s="108"/>
      <c r="J346" s="40" t="s">
        <v>22</v>
      </c>
      <c r="K346" s="41"/>
      <c r="L346" s="42">
        <f>L327</f>
        <v>33300</v>
      </c>
      <c r="M346" s="102"/>
    </row>
    <row r="347" s="92" customFormat="1" ht="16.7" customHeight="1" spans="1:13">
      <c r="A347" s="103"/>
      <c r="B347" s="43" t="s">
        <v>24</v>
      </c>
      <c r="C347" s="44"/>
      <c r="D347" s="45">
        <f>D340-D345-D346-D348</f>
        <v>24490</v>
      </c>
      <c r="E347" s="103"/>
      <c r="F347" s="43" t="s">
        <v>24</v>
      </c>
      <c r="G347" s="44"/>
      <c r="H347" s="45">
        <f>H340-H345-H346-H348</f>
        <v>20547</v>
      </c>
      <c r="I347" s="109"/>
      <c r="J347" s="43" t="s">
        <v>24</v>
      </c>
      <c r="K347" s="44"/>
      <c r="L347" s="45">
        <f>L340-L345-L346-L348</f>
        <v>20107</v>
      </c>
      <c r="M347" s="103"/>
    </row>
    <row r="348" ht="16.7" customHeight="1" spans="1:13">
      <c r="A348" s="98"/>
      <c r="B348" s="46" t="s">
        <v>25</v>
      </c>
      <c r="C348" s="47"/>
      <c r="D348" s="48">
        <f>D336</f>
        <v>1998</v>
      </c>
      <c r="E348" s="98"/>
      <c r="F348" s="46" t="s">
        <v>25</v>
      </c>
      <c r="G348" s="47"/>
      <c r="H348" s="48">
        <f>H336</f>
        <v>1998</v>
      </c>
      <c r="J348" s="46" t="s">
        <v>25</v>
      </c>
      <c r="K348" s="47"/>
      <c r="L348" s="48">
        <f>L336</f>
        <v>1998</v>
      </c>
      <c r="M348" s="98"/>
    </row>
    <row r="349" ht="16.7" customHeight="1" spans="1:15">
      <c r="A349" s="98"/>
      <c r="B349" s="62"/>
      <c r="C349" s="62"/>
      <c r="D349" s="98"/>
      <c r="E349" s="98"/>
      <c r="F349" s="62"/>
      <c r="G349" s="62"/>
      <c r="H349" s="98"/>
      <c r="J349" s="62"/>
      <c r="K349" s="62"/>
      <c r="L349" s="98"/>
      <c r="M349" s="98"/>
      <c r="O349" s="112">
        <f>D349+H349+L349</f>
        <v>0</v>
      </c>
    </row>
    <row r="350" s="90" customFormat="1" ht="16.7" customHeight="1" spans="1:13">
      <c r="A350" s="1"/>
      <c r="B350" s="1" t="s">
        <v>0</v>
      </c>
      <c r="C350" s="1"/>
      <c r="D350" s="1"/>
      <c r="E350" s="1"/>
      <c r="F350" s="1" t="s">
        <v>0</v>
      </c>
      <c r="G350" s="1"/>
      <c r="H350" s="1"/>
      <c r="J350" s="1" t="s">
        <v>0</v>
      </c>
      <c r="K350" s="1"/>
      <c r="L350" s="1"/>
      <c r="M350" s="110"/>
    </row>
    <row r="351" ht="16.7" customHeight="1" spans="1:13">
      <c r="A351" s="97"/>
      <c r="B351" s="2" t="s">
        <v>2</v>
      </c>
      <c r="C351" s="2"/>
      <c r="D351" s="3" t="s">
        <v>67</v>
      </c>
      <c r="E351" s="97"/>
      <c r="F351" s="2" t="s">
        <v>2</v>
      </c>
      <c r="G351" s="2"/>
      <c r="H351" s="3" t="s">
        <v>68</v>
      </c>
      <c r="J351" s="2"/>
      <c r="K351" s="2"/>
      <c r="L351" s="3"/>
      <c r="M351" s="111"/>
    </row>
    <row r="352" ht="16.7" customHeight="1" spans="1:13">
      <c r="A352" s="98"/>
      <c r="B352" s="4" t="s">
        <v>5</v>
      </c>
      <c r="C352" s="5">
        <v>30</v>
      </c>
      <c r="D352" s="6">
        <v>33300</v>
      </c>
      <c r="E352" s="98"/>
      <c r="F352" s="4" t="s">
        <v>5</v>
      </c>
      <c r="G352" s="5">
        <v>30</v>
      </c>
      <c r="H352" s="6">
        <v>29500</v>
      </c>
      <c r="J352" s="4"/>
      <c r="K352" s="5"/>
      <c r="L352" s="6"/>
      <c r="M352" s="98"/>
    </row>
    <row r="353" ht="16.5" customHeight="1" spans="1:13">
      <c r="A353" s="98"/>
      <c r="B353" s="7"/>
      <c r="C353" s="8"/>
      <c r="D353" s="9"/>
      <c r="E353" s="98"/>
      <c r="F353" s="7"/>
      <c r="G353" s="8"/>
      <c r="H353" s="9"/>
      <c r="J353" s="7"/>
      <c r="K353" s="8"/>
      <c r="L353" s="9"/>
      <c r="M353" s="98"/>
    </row>
    <row r="354" ht="16.7" customHeight="1" spans="1:13">
      <c r="A354" s="98"/>
      <c r="B354" s="7"/>
      <c r="C354" s="8"/>
      <c r="D354" s="9"/>
      <c r="E354" s="98"/>
      <c r="F354" s="114"/>
      <c r="G354" s="8"/>
      <c r="H354" s="9"/>
      <c r="J354" s="114"/>
      <c r="K354" s="8"/>
      <c r="L354" s="9"/>
      <c r="M354" s="98"/>
    </row>
    <row r="355" ht="16.7" customHeight="1" spans="1:13">
      <c r="A355" s="98"/>
      <c r="B355" s="10" t="s">
        <v>6</v>
      </c>
      <c r="C355" s="11"/>
      <c r="D355" s="12"/>
      <c r="E355" s="98"/>
      <c r="F355" s="10" t="s">
        <v>6</v>
      </c>
      <c r="G355" s="11"/>
      <c r="H355" s="12"/>
      <c r="J355" s="10"/>
      <c r="K355" s="11"/>
      <c r="L355" s="12"/>
      <c r="M355" s="98"/>
    </row>
    <row r="356" ht="16.7" customHeight="1" spans="1:13">
      <c r="A356" s="98"/>
      <c r="B356" s="13" t="s">
        <v>7</v>
      </c>
      <c r="C356" s="14"/>
      <c r="D356" s="15">
        <f>SUM(D352:D355)</f>
        <v>33300</v>
      </c>
      <c r="E356" s="98"/>
      <c r="F356" s="13" t="s">
        <v>7</v>
      </c>
      <c r="G356" s="14"/>
      <c r="H356" s="15">
        <f>SUM(H352:H355)</f>
        <v>29500</v>
      </c>
      <c r="J356" s="13"/>
      <c r="K356" s="14"/>
      <c r="L356" s="15"/>
      <c r="M356" s="98"/>
    </row>
    <row r="357" ht="16.7" customHeight="1" spans="1:13">
      <c r="A357" s="98"/>
      <c r="B357" s="16" t="s">
        <v>8</v>
      </c>
      <c r="C357" s="17"/>
      <c r="D357" s="18"/>
      <c r="E357" s="98"/>
      <c r="F357" s="4" t="s">
        <v>5</v>
      </c>
      <c r="G357" s="17">
        <v>30</v>
      </c>
      <c r="H357" s="18">
        <v>2410</v>
      </c>
      <c r="J357" s="4"/>
      <c r="K357" s="17"/>
      <c r="L357" s="18"/>
      <c r="M357" s="98"/>
    </row>
    <row r="358" ht="16.7" customHeight="1" spans="1:13">
      <c r="A358" s="98"/>
      <c r="B358" s="7" t="s">
        <v>9</v>
      </c>
      <c r="C358" s="19"/>
      <c r="D358" s="9"/>
      <c r="E358" s="98"/>
      <c r="F358" s="113"/>
      <c r="G358" s="8"/>
      <c r="H358" s="9"/>
      <c r="J358" s="113"/>
      <c r="K358" s="8"/>
      <c r="L358" s="9"/>
      <c r="M358" s="98"/>
    </row>
    <row r="359" ht="16.7" customHeight="1" spans="1:13">
      <c r="A359" s="98"/>
      <c r="B359" s="7" t="s">
        <v>10</v>
      </c>
      <c r="C359" s="8"/>
      <c r="D359" s="9"/>
      <c r="E359" s="98"/>
      <c r="F359" s="7"/>
      <c r="G359" s="8"/>
      <c r="H359" s="9"/>
      <c r="J359" s="7"/>
      <c r="K359" s="8"/>
      <c r="L359" s="9"/>
      <c r="M359" s="98"/>
    </row>
    <row r="360" s="93" customFormat="1" ht="16.7" customHeight="1" spans="1:13">
      <c r="A360" s="116"/>
      <c r="B360" s="7"/>
      <c r="C360" s="19"/>
      <c r="D360" s="9"/>
      <c r="E360" s="116"/>
      <c r="F360" s="114"/>
      <c r="G360" s="19"/>
      <c r="H360" s="9"/>
      <c r="I360" s="117"/>
      <c r="J360" s="114"/>
      <c r="K360" s="19"/>
      <c r="L360" s="9"/>
      <c r="M360" s="116"/>
    </row>
    <row r="361" ht="16.7" customHeight="1" spans="1:13">
      <c r="A361" s="98"/>
      <c r="B361" s="20"/>
      <c r="C361" s="21"/>
      <c r="D361" s="22"/>
      <c r="E361" s="98"/>
      <c r="F361" s="20"/>
      <c r="G361" s="21"/>
      <c r="H361" s="22"/>
      <c r="J361" s="20"/>
      <c r="K361" s="21"/>
      <c r="L361" s="22"/>
      <c r="M361" s="98"/>
    </row>
    <row r="362" ht="16.7" customHeight="1" spans="1:13">
      <c r="A362" s="98"/>
      <c r="B362" s="23" t="s">
        <v>11</v>
      </c>
      <c r="C362" s="24"/>
      <c r="D362" s="25">
        <f>SUM(D357:D361)</f>
        <v>0</v>
      </c>
      <c r="E362" s="98"/>
      <c r="F362" s="23"/>
      <c r="G362" s="24"/>
      <c r="H362" s="25"/>
      <c r="J362" s="23"/>
      <c r="K362" s="24"/>
      <c r="L362" s="25"/>
      <c r="M362" s="98"/>
    </row>
    <row r="363" ht="16.7" customHeight="1" spans="1:13">
      <c r="A363" s="98"/>
      <c r="B363" s="7" t="s">
        <v>12</v>
      </c>
      <c r="C363" s="19">
        <v>20</v>
      </c>
      <c r="D363" s="26"/>
      <c r="E363" s="98"/>
      <c r="F363" s="7"/>
      <c r="G363" s="19"/>
      <c r="H363" s="26"/>
      <c r="J363" s="7"/>
      <c r="K363" s="19"/>
      <c r="L363" s="26"/>
      <c r="M363" s="98"/>
    </row>
    <row r="364" ht="16.7" customHeight="1" spans="1:13">
      <c r="A364" s="98"/>
      <c r="B364" s="27" t="s">
        <v>13</v>
      </c>
      <c r="C364" s="11"/>
      <c r="D364" s="28">
        <f>D362*C363</f>
        <v>0</v>
      </c>
      <c r="E364" s="98"/>
      <c r="F364" s="27" t="s">
        <v>13</v>
      </c>
      <c r="G364" s="11"/>
      <c r="H364" s="28">
        <f>SUM(H357:H363)</f>
        <v>2410</v>
      </c>
      <c r="J364" s="27"/>
      <c r="K364" s="11"/>
      <c r="L364" s="28"/>
      <c r="M364" s="98"/>
    </row>
    <row r="365" ht="16.7" customHeight="1" spans="1:13">
      <c r="A365" s="98"/>
      <c r="B365" s="29" t="s">
        <v>14</v>
      </c>
      <c r="C365" s="30"/>
      <c r="D365" s="31">
        <f>D352*0.06</f>
        <v>1998</v>
      </c>
      <c r="E365" s="98"/>
      <c r="F365" s="29" t="s">
        <v>14</v>
      </c>
      <c r="G365" s="30"/>
      <c r="H365" s="31">
        <f>H352*0.06</f>
        <v>1770</v>
      </c>
      <c r="J365" s="29"/>
      <c r="K365" s="30"/>
      <c r="L365" s="31"/>
      <c r="M365" s="98"/>
    </row>
    <row r="366" ht="16.7" customHeight="1" spans="1:13">
      <c r="A366" s="98"/>
      <c r="B366" s="7" t="s">
        <v>63</v>
      </c>
      <c r="C366" s="8"/>
      <c r="D366" s="9">
        <v>18700</v>
      </c>
      <c r="E366" s="98"/>
      <c r="F366" s="7"/>
      <c r="G366" s="32"/>
      <c r="H366" s="9"/>
      <c r="J366" s="7"/>
      <c r="K366" s="32"/>
      <c r="L366" s="9"/>
      <c r="M366" s="98"/>
    </row>
    <row r="367" ht="16.7" customHeight="1" spans="1:13">
      <c r="A367" s="98"/>
      <c r="B367" s="7"/>
      <c r="C367" s="32"/>
      <c r="D367" s="9"/>
      <c r="E367" s="98"/>
      <c r="F367" s="114"/>
      <c r="G367" s="32"/>
      <c r="H367" s="9"/>
      <c r="J367" s="114"/>
      <c r="K367" s="32"/>
      <c r="L367" s="9"/>
      <c r="M367" s="98"/>
    </row>
    <row r="368" ht="16.7" customHeight="1" spans="1:13">
      <c r="A368" s="98"/>
      <c r="B368" s="104" t="s">
        <v>31</v>
      </c>
      <c r="C368" s="17"/>
      <c r="D368" s="18">
        <v>4083</v>
      </c>
      <c r="E368" s="98"/>
      <c r="F368" s="104" t="s">
        <v>31</v>
      </c>
      <c r="G368" s="17"/>
      <c r="H368" s="18">
        <v>8107</v>
      </c>
      <c r="J368" s="104"/>
      <c r="K368" s="17"/>
      <c r="L368" s="18"/>
      <c r="M368" s="98"/>
    </row>
    <row r="369" ht="16.7" customHeight="1" spans="1:13">
      <c r="A369" s="98"/>
      <c r="B369" s="33" t="s">
        <v>18</v>
      </c>
      <c r="C369" s="34"/>
      <c r="D369" s="35">
        <f>D356+D364+D365+D366+D367+D368</f>
        <v>58081</v>
      </c>
      <c r="E369" s="98"/>
      <c r="F369" s="33" t="s">
        <v>18</v>
      </c>
      <c r="G369" s="34"/>
      <c r="H369" s="35">
        <f>H356+H364+H365+H366+H367+H368</f>
        <v>41787</v>
      </c>
      <c r="J369" s="33"/>
      <c r="K369" s="34"/>
      <c r="L369" s="35"/>
      <c r="M369" s="98"/>
    </row>
    <row r="370" ht="16.7" customHeight="1" spans="1:13">
      <c r="A370" s="98"/>
      <c r="B370" s="29" t="s">
        <v>19</v>
      </c>
      <c r="C370" s="30"/>
      <c r="D370" s="36">
        <v>833</v>
      </c>
      <c r="E370" s="98"/>
      <c r="F370" s="29" t="s">
        <v>19</v>
      </c>
      <c r="G370" s="30"/>
      <c r="H370" s="36">
        <v>738</v>
      </c>
      <c r="J370" s="29"/>
      <c r="K370" s="30"/>
      <c r="L370" s="36"/>
      <c r="M370" s="98"/>
    </row>
    <row r="371" ht="16.7" customHeight="1" spans="1:13">
      <c r="A371" s="98"/>
      <c r="B371" s="7" t="s">
        <v>20</v>
      </c>
      <c r="C371" s="8"/>
      <c r="D371" s="9">
        <v>516</v>
      </c>
      <c r="E371" s="98"/>
      <c r="F371" s="7" t="s">
        <v>20</v>
      </c>
      <c r="G371" s="8"/>
      <c r="H371" s="9">
        <v>458</v>
      </c>
      <c r="I371" s="98"/>
      <c r="J371" s="7"/>
      <c r="K371" s="8"/>
      <c r="L371" s="9"/>
      <c r="M371" s="98"/>
    </row>
    <row r="372" ht="16.7" customHeight="1" spans="1:13">
      <c r="A372" s="98"/>
      <c r="B372" s="7"/>
      <c r="C372" s="8"/>
      <c r="D372" s="9"/>
      <c r="E372" s="98"/>
      <c r="F372" s="7"/>
      <c r="G372" s="8"/>
      <c r="H372" s="9"/>
      <c r="J372" s="7"/>
      <c r="K372" s="8"/>
      <c r="L372" s="9"/>
      <c r="M372" s="98"/>
    </row>
    <row r="373" ht="16.7" customHeight="1" spans="1:13">
      <c r="A373" s="98"/>
      <c r="B373" s="7" t="s">
        <v>33</v>
      </c>
      <c r="C373" s="21"/>
      <c r="D373" s="22"/>
      <c r="E373" s="98"/>
      <c r="F373" s="7" t="s">
        <v>33</v>
      </c>
      <c r="G373" s="21"/>
      <c r="H373" s="22"/>
      <c r="J373" s="7"/>
      <c r="K373" s="21"/>
      <c r="L373" s="22"/>
      <c r="M373" s="98"/>
    </row>
    <row r="374" ht="16.7" customHeight="1" spans="1:13">
      <c r="A374" s="98"/>
      <c r="B374" s="37" t="s">
        <v>21</v>
      </c>
      <c r="C374" s="38"/>
      <c r="D374" s="39">
        <f>SUM(D370:D373)</f>
        <v>1349</v>
      </c>
      <c r="E374" s="98"/>
      <c r="F374" s="37" t="s">
        <v>21</v>
      </c>
      <c r="G374" s="38"/>
      <c r="H374" s="39">
        <f>SUM(H370:H373)</f>
        <v>1196</v>
      </c>
      <c r="J374" s="37"/>
      <c r="K374" s="38"/>
      <c r="L374" s="39"/>
      <c r="M374" s="98"/>
    </row>
    <row r="375" s="91" customFormat="1" ht="16.7" customHeight="1" spans="1:13">
      <c r="A375" s="102"/>
      <c r="B375" s="40" t="s">
        <v>22</v>
      </c>
      <c r="C375" s="41"/>
      <c r="D375" s="42">
        <f>D356</f>
        <v>33300</v>
      </c>
      <c r="E375" s="102"/>
      <c r="F375" s="40" t="s">
        <v>22</v>
      </c>
      <c r="G375" s="41"/>
      <c r="H375" s="42">
        <f>H356</f>
        <v>29500</v>
      </c>
      <c r="I375" s="108"/>
      <c r="J375" s="40"/>
      <c r="K375" s="41"/>
      <c r="L375" s="42"/>
      <c r="M375" s="102"/>
    </row>
    <row r="376" s="92" customFormat="1" ht="16.7" customHeight="1" spans="1:13">
      <c r="A376" s="103"/>
      <c r="B376" s="43" t="s">
        <v>24</v>
      </c>
      <c r="C376" s="44"/>
      <c r="D376" s="45">
        <f>D369-D374-D375-D377</f>
        <v>21434</v>
      </c>
      <c r="E376" s="103"/>
      <c r="F376" s="43" t="s">
        <v>24</v>
      </c>
      <c r="G376" s="44"/>
      <c r="H376" s="45">
        <f>H369-H374-H375-H377</f>
        <v>9321</v>
      </c>
      <c r="I376" s="109"/>
      <c r="J376" s="43"/>
      <c r="K376" s="44"/>
      <c r="L376" s="45"/>
      <c r="M376" s="103"/>
    </row>
    <row r="377" ht="16.7" customHeight="1" spans="1:13">
      <c r="A377" s="98"/>
      <c r="B377" s="46" t="s">
        <v>25</v>
      </c>
      <c r="C377" s="47"/>
      <c r="D377" s="48">
        <f>D365</f>
        <v>1998</v>
      </c>
      <c r="E377" s="98"/>
      <c r="F377" s="46" t="s">
        <v>25</v>
      </c>
      <c r="G377" s="47"/>
      <c r="H377" s="48">
        <f>H365</f>
        <v>1770</v>
      </c>
      <c r="J377" s="46"/>
      <c r="K377" s="47"/>
      <c r="L377" s="48"/>
      <c r="M377" s="98"/>
    </row>
    <row r="378" ht="15" customHeight="1" spans="1:15">
      <c r="A378" s="98"/>
      <c r="B378" s="62"/>
      <c r="C378" s="62"/>
      <c r="D378" s="98"/>
      <c r="E378" s="98"/>
      <c r="F378" s="62"/>
      <c r="G378" s="62"/>
      <c r="H378" s="98"/>
      <c r="I378" s="95"/>
      <c r="J378" s="62"/>
      <c r="K378" s="62"/>
      <c r="L378" s="98"/>
      <c r="M378" s="98"/>
      <c r="O378" s="112">
        <f>D378+H378+L378</f>
        <v>0</v>
      </c>
    </row>
    <row r="379" ht="16.7" customHeight="1" spans="1:15">
      <c r="A379" s="98"/>
      <c r="B379" s="62"/>
      <c r="C379" s="62"/>
      <c r="D379" s="98"/>
      <c r="E379" s="98"/>
      <c r="F379" s="62"/>
      <c r="G379" s="62"/>
      <c r="H379" s="98"/>
      <c r="J379" s="62"/>
      <c r="K379" s="62"/>
      <c r="L379" s="98"/>
      <c r="M379" s="98"/>
      <c r="O379" s="112">
        <f>D379+H379+L379</f>
        <v>0</v>
      </c>
    </row>
    <row r="380" ht="16.7" customHeight="1" spans="1:15">
      <c r="A380" s="98"/>
      <c r="B380" s="62"/>
      <c r="C380" s="62"/>
      <c r="D380" s="98"/>
      <c r="E380" s="98"/>
      <c r="F380" s="62"/>
      <c r="G380" s="62"/>
      <c r="H380" s="98"/>
      <c r="J380" s="62"/>
      <c r="K380" s="62"/>
      <c r="L380" s="98"/>
      <c r="M380" s="98"/>
      <c r="O380" s="112">
        <f>D380+H380+L380</f>
        <v>0</v>
      </c>
    </row>
    <row r="381" ht="16.7" customHeight="1" spans="1:15">
      <c r="A381" s="98"/>
      <c r="B381" s="62"/>
      <c r="C381" s="62"/>
      <c r="D381" s="98"/>
      <c r="E381" s="98"/>
      <c r="F381" s="62"/>
      <c r="G381" s="62"/>
      <c r="H381" s="98"/>
      <c r="J381" s="62"/>
      <c r="K381" s="62"/>
      <c r="L381" s="98"/>
      <c r="M381" s="98"/>
      <c r="O381" s="118"/>
    </row>
    <row r="382" customHeight="1" spans="14:15">
      <c r="N382" s="94" t="s">
        <v>69</v>
      </c>
      <c r="O382" s="112" t="e">
        <f>SUM(O30+#REF!+O88+#REF!+O146+#REF!+#REF!+#REF!+#REF!+O380)</f>
        <v>#REF!</v>
      </c>
    </row>
    <row r="383" customHeight="1" spans="15:15">
      <c r="O383" s="118"/>
    </row>
  </sheetData>
  <mergeCells count="39">
    <mergeCell ref="B2:D2"/>
    <mergeCell ref="F2:H2"/>
    <mergeCell ref="J2:L2"/>
    <mergeCell ref="B31:D31"/>
    <mergeCell ref="F31:H31"/>
    <mergeCell ref="J31:L31"/>
    <mergeCell ref="B60:D60"/>
    <mergeCell ref="F60:H60"/>
    <mergeCell ref="J60:L60"/>
    <mergeCell ref="B89:D89"/>
    <mergeCell ref="F89:H89"/>
    <mergeCell ref="J89:L89"/>
    <mergeCell ref="B118:D118"/>
    <mergeCell ref="F118:H118"/>
    <mergeCell ref="J118:L118"/>
    <mergeCell ref="B147:D147"/>
    <mergeCell ref="F147:H147"/>
    <mergeCell ref="J147:L147"/>
    <mergeCell ref="B176:D176"/>
    <mergeCell ref="F176:H176"/>
    <mergeCell ref="J176:L176"/>
    <mergeCell ref="B205:D205"/>
    <mergeCell ref="F205:H205"/>
    <mergeCell ref="J205:L205"/>
    <mergeCell ref="B234:D234"/>
    <mergeCell ref="F234:H234"/>
    <mergeCell ref="J234:L234"/>
    <mergeCell ref="B263:D263"/>
    <mergeCell ref="F263:H263"/>
    <mergeCell ref="J263:L263"/>
    <mergeCell ref="B292:D292"/>
    <mergeCell ref="F292:H292"/>
    <mergeCell ref="J292:L292"/>
    <mergeCell ref="B321:D321"/>
    <mergeCell ref="F321:H321"/>
    <mergeCell ref="J321:L321"/>
    <mergeCell ref="B350:D350"/>
    <mergeCell ref="F350:H350"/>
    <mergeCell ref="J350:L350"/>
  </mergeCells>
  <printOptions horizontalCentered="1"/>
  <pageMargins left="0" right="0" top="0" bottom="0" header="0.236220472440945" footer="0.15748031496063"/>
  <pageSetup paperSize="9" scale="9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Y123"/>
  <sheetViews>
    <sheetView zoomScale="80" zoomScaleNormal="80" topLeftCell="A50" workbookViewId="0">
      <selection activeCell="K45" sqref="K45:L82"/>
    </sheetView>
  </sheetViews>
  <sheetFormatPr defaultColWidth="9" defaultRowHeight="15.75" customHeight="1"/>
  <cols>
    <col min="1" max="1" width="2.875" style="65" customWidth="1"/>
    <col min="2" max="2" width="5.375" style="66" customWidth="1"/>
    <col min="3" max="62" width="5.375" style="65" customWidth="1"/>
    <col min="63" max="16384" width="9" style="65"/>
  </cols>
  <sheetData>
    <row r="1" s="62" customFormat="1" ht="15" customHeight="1" spans="3:43">
      <c r="C1" s="67"/>
      <c r="E1" s="74"/>
      <c r="F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K1" s="74"/>
      <c r="AN1" s="74"/>
      <c r="AQ1" s="74"/>
    </row>
    <row r="2" customHeight="1" spans="2:50">
      <c r="B2" s="68" t="s">
        <v>53</v>
      </c>
      <c r="C2" s="69"/>
      <c r="D2" s="62"/>
      <c r="E2" s="49" t="s">
        <v>54</v>
      </c>
      <c r="F2" s="49"/>
      <c r="G2" s="62"/>
      <c r="H2" s="75" t="s">
        <v>55</v>
      </c>
      <c r="I2" s="77"/>
      <c r="J2" s="62"/>
      <c r="K2" s="49" t="s">
        <v>56</v>
      </c>
      <c r="L2" s="49"/>
      <c r="M2" s="62"/>
      <c r="N2" s="49" t="s">
        <v>57</v>
      </c>
      <c r="O2" s="49"/>
      <c r="P2" s="62"/>
      <c r="Q2" s="49" t="s">
        <v>58</v>
      </c>
      <c r="R2" s="49"/>
      <c r="S2" s="62"/>
      <c r="T2" s="49" t="s">
        <v>60</v>
      </c>
      <c r="U2" s="49"/>
      <c r="V2" s="62"/>
      <c r="W2" s="49" t="s">
        <v>61</v>
      </c>
      <c r="X2" s="49"/>
      <c r="Y2" s="62"/>
      <c r="Z2" s="49" t="s">
        <v>62</v>
      </c>
      <c r="AA2" s="49"/>
      <c r="AB2" s="62"/>
      <c r="AC2" s="49" t="s">
        <v>64</v>
      </c>
      <c r="AD2" s="49"/>
      <c r="AE2" s="62"/>
      <c r="AF2" s="49" t="s">
        <v>65</v>
      </c>
      <c r="AG2" s="49"/>
      <c r="AH2" s="62"/>
      <c r="AI2" s="49" t="s">
        <v>66</v>
      </c>
      <c r="AJ2" s="49"/>
      <c r="AK2" s="62"/>
      <c r="AL2" s="49" t="s">
        <v>67</v>
      </c>
      <c r="AM2" s="49"/>
      <c r="AN2" s="62"/>
      <c r="AO2" s="49" t="s">
        <v>68</v>
      </c>
      <c r="AP2" s="49"/>
      <c r="AQ2" s="62"/>
      <c r="AR2" s="49" t="s">
        <v>28</v>
      </c>
      <c r="AS2" s="49"/>
      <c r="AT2" s="49"/>
      <c r="AU2" s="49"/>
      <c r="AV2" s="49"/>
      <c r="AW2" s="49"/>
      <c r="AX2" s="49"/>
    </row>
    <row r="3" customHeight="1" spans="2:50">
      <c r="B3" s="49" t="s">
        <v>70</v>
      </c>
      <c r="C3" s="49" t="s">
        <v>71</v>
      </c>
      <c r="D3" s="62"/>
      <c r="E3" s="49" t="s">
        <v>70</v>
      </c>
      <c r="F3" s="49" t="s">
        <v>71</v>
      </c>
      <c r="G3" s="62"/>
      <c r="H3" s="49" t="s">
        <v>70</v>
      </c>
      <c r="I3" s="49" t="s">
        <v>71</v>
      </c>
      <c r="J3" s="62"/>
      <c r="K3" s="49" t="s">
        <v>70</v>
      </c>
      <c r="L3" s="49" t="s">
        <v>71</v>
      </c>
      <c r="M3" s="62"/>
      <c r="N3" s="49" t="s">
        <v>70</v>
      </c>
      <c r="O3" s="49" t="s">
        <v>71</v>
      </c>
      <c r="P3" s="62"/>
      <c r="Q3" s="49" t="s">
        <v>70</v>
      </c>
      <c r="R3" s="49" t="s">
        <v>71</v>
      </c>
      <c r="S3" s="62"/>
      <c r="T3" s="49" t="s">
        <v>70</v>
      </c>
      <c r="U3" s="49" t="s">
        <v>71</v>
      </c>
      <c r="V3" s="62"/>
      <c r="W3" s="49" t="s">
        <v>70</v>
      </c>
      <c r="X3" s="49" t="s">
        <v>70</v>
      </c>
      <c r="Y3" s="62"/>
      <c r="Z3" s="49" t="s">
        <v>70</v>
      </c>
      <c r="AA3" s="49" t="s">
        <v>71</v>
      </c>
      <c r="AB3" s="62"/>
      <c r="AC3" s="49" t="s">
        <v>70</v>
      </c>
      <c r="AD3" s="49" t="s">
        <v>71</v>
      </c>
      <c r="AE3" s="62"/>
      <c r="AF3" s="49" t="s">
        <v>70</v>
      </c>
      <c r="AG3" s="49" t="s">
        <v>71</v>
      </c>
      <c r="AH3" s="62"/>
      <c r="AI3" s="49" t="s">
        <v>70</v>
      </c>
      <c r="AJ3" s="49" t="s">
        <v>71</v>
      </c>
      <c r="AK3" s="62"/>
      <c r="AL3" s="49" t="s">
        <v>70</v>
      </c>
      <c r="AM3" s="49" t="s">
        <v>71</v>
      </c>
      <c r="AN3" s="62"/>
      <c r="AO3" s="49" t="s">
        <v>70</v>
      </c>
      <c r="AP3" s="49" t="s">
        <v>71</v>
      </c>
      <c r="AQ3" s="62"/>
      <c r="AR3" s="49" t="s">
        <v>70</v>
      </c>
      <c r="AS3" s="49" t="s">
        <v>71</v>
      </c>
      <c r="AT3" s="49"/>
      <c r="AU3" s="49"/>
      <c r="AV3" s="49"/>
      <c r="AW3" s="49"/>
      <c r="AX3" s="49"/>
    </row>
    <row r="4" customHeight="1" spans="2:50">
      <c r="B4" s="50">
        <v>46143</v>
      </c>
      <c r="C4" s="52"/>
      <c r="D4" s="62"/>
      <c r="E4" s="50">
        <v>46143</v>
      </c>
      <c r="F4" s="52"/>
      <c r="G4" s="62"/>
      <c r="H4" s="50">
        <v>46143</v>
      </c>
      <c r="I4" s="52"/>
      <c r="J4" s="62"/>
      <c r="K4" s="50">
        <v>46143</v>
      </c>
      <c r="L4" s="52"/>
      <c r="M4" s="62"/>
      <c r="N4" s="50">
        <v>46143</v>
      </c>
      <c r="O4" s="52"/>
      <c r="P4" s="62"/>
      <c r="Q4" s="50">
        <v>46143</v>
      </c>
      <c r="R4" s="52"/>
      <c r="S4" s="62"/>
      <c r="T4" s="50">
        <v>46143</v>
      </c>
      <c r="U4" s="52"/>
      <c r="V4" s="62"/>
      <c r="W4" s="50">
        <v>46143</v>
      </c>
      <c r="X4" s="52"/>
      <c r="Y4" s="62"/>
      <c r="Z4" s="50">
        <v>46143</v>
      </c>
      <c r="AA4" s="52"/>
      <c r="AB4" s="62"/>
      <c r="AC4" s="50">
        <v>46143</v>
      </c>
      <c r="AD4" s="52"/>
      <c r="AE4" s="62"/>
      <c r="AF4" s="50">
        <v>46143</v>
      </c>
      <c r="AG4" s="52"/>
      <c r="AH4" s="62"/>
      <c r="AI4" s="50">
        <v>46143</v>
      </c>
      <c r="AJ4" s="52"/>
      <c r="AK4" s="62"/>
      <c r="AL4" s="50">
        <v>46143</v>
      </c>
      <c r="AM4" s="52"/>
      <c r="AN4" s="62"/>
      <c r="AO4" s="50">
        <v>46143</v>
      </c>
      <c r="AP4" s="52"/>
      <c r="AQ4" s="62"/>
      <c r="AR4" s="50">
        <v>46143</v>
      </c>
      <c r="AS4" s="52"/>
      <c r="AT4" s="71"/>
      <c r="AU4" s="71"/>
      <c r="AV4" s="71"/>
      <c r="AW4" s="71"/>
      <c r="AX4" s="71"/>
    </row>
    <row r="5" customHeight="1" spans="2:50">
      <c r="B5" s="50">
        <v>46144</v>
      </c>
      <c r="C5" s="52"/>
      <c r="D5" s="62"/>
      <c r="E5" s="50">
        <v>46144</v>
      </c>
      <c r="F5" s="52"/>
      <c r="G5" s="62"/>
      <c r="H5" s="50">
        <v>46144</v>
      </c>
      <c r="I5" s="52"/>
      <c r="J5" s="62"/>
      <c r="K5" s="50">
        <v>46144</v>
      </c>
      <c r="L5" s="52"/>
      <c r="M5" s="62"/>
      <c r="N5" s="50">
        <v>46144</v>
      </c>
      <c r="O5" s="52"/>
      <c r="P5" s="62"/>
      <c r="Q5" s="50">
        <v>46144</v>
      </c>
      <c r="R5" s="52"/>
      <c r="S5" s="62"/>
      <c r="T5" s="50">
        <v>46144</v>
      </c>
      <c r="U5" s="52"/>
      <c r="V5" s="62"/>
      <c r="W5" s="50">
        <v>46144</v>
      </c>
      <c r="X5" s="52"/>
      <c r="Y5" s="62"/>
      <c r="Z5" s="50">
        <v>46144</v>
      </c>
      <c r="AA5" s="52"/>
      <c r="AB5" s="62"/>
      <c r="AC5" s="50">
        <v>46144</v>
      </c>
      <c r="AD5" s="52"/>
      <c r="AE5" s="62"/>
      <c r="AF5" s="50">
        <v>46144</v>
      </c>
      <c r="AG5" s="52"/>
      <c r="AH5" s="62"/>
      <c r="AI5" s="50">
        <v>46144</v>
      </c>
      <c r="AJ5" s="52"/>
      <c r="AK5" s="62"/>
      <c r="AL5" s="50">
        <v>46144</v>
      </c>
      <c r="AM5" s="52"/>
      <c r="AN5" s="62"/>
      <c r="AO5" s="50">
        <v>46144</v>
      </c>
      <c r="AP5" s="52"/>
      <c r="AQ5" s="62"/>
      <c r="AR5" s="50">
        <v>46144</v>
      </c>
      <c r="AS5" s="52"/>
      <c r="AT5" s="71"/>
      <c r="AU5" s="71"/>
      <c r="AV5" s="71"/>
      <c r="AW5" s="71"/>
      <c r="AX5" s="71"/>
    </row>
    <row r="6" customHeight="1" spans="2:50">
      <c r="B6" s="50">
        <v>46145</v>
      </c>
      <c r="C6" s="52"/>
      <c r="D6" s="62"/>
      <c r="E6" s="50">
        <v>46145</v>
      </c>
      <c r="F6" s="52"/>
      <c r="G6" s="62"/>
      <c r="H6" s="50">
        <v>46145</v>
      </c>
      <c r="I6" s="52"/>
      <c r="J6" s="62"/>
      <c r="K6" s="50">
        <v>46145</v>
      </c>
      <c r="L6" s="52"/>
      <c r="M6" s="62"/>
      <c r="N6" s="50">
        <v>46145</v>
      </c>
      <c r="O6" s="52"/>
      <c r="P6" s="62"/>
      <c r="Q6" s="50">
        <v>46145</v>
      </c>
      <c r="R6" s="52"/>
      <c r="S6" s="62"/>
      <c r="T6" s="50">
        <v>46145</v>
      </c>
      <c r="U6" s="52"/>
      <c r="V6" s="62"/>
      <c r="W6" s="50">
        <v>46145</v>
      </c>
      <c r="X6" s="52"/>
      <c r="Y6" s="62"/>
      <c r="Z6" s="50">
        <v>46145</v>
      </c>
      <c r="AA6" s="52"/>
      <c r="AB6" s="62"/>
      <c r="AC6" s="50">
        <v>46145</v>
      </c>
      <c r="AD6" s="52"/>
      <c r="AE6" s="62"/>
      <c r="AF6" s="50">
        <v>46145</v>
      </c>
      <c r="AG6" s="52"/>
      <c r="AH6" s="62"/>
      <c r="AI6" s="50">
        <v>46145</v>
      </c>
      <c r="AJ6" s="52"/>
      <c r="AK6" s="62"/>
      <c r="AL6" s="50">
        <v>46145</v>
      </c>
      <c r="AM6" s="52"/>
      <c r="AN6" s="62"/>
      <c r="AO6" s="50">
        <v>46145</v>
      </c>
      <c r="AP6" s="52"/>
      <c r="AQ6" s="62"/>
      <c r="AR6" s="50">
        <v>46145</v>
      </c>
      <c r="AS6" s="52"/>
      <c r="AT6" s="71"/>
      <c r="AU6" s="71"/>
      <c r="AV6" s="71"/>
      <c r="AW6" s="71"/>
      <c r="AX6" s="71"/>
    </row>
    <row r="7" customHeight="1" spans="2:50">
      <c r="B7" s="53">
        <v>46146</v>
      </c>
      <c r="C7" s="70"/>
      <c r="D7" s="62"/>
      <c r="E7" s="53">
        <v>46146</v>
      </c>
      <c r="F7" s="51">
        <v>1050</v>
      </c>
      <c r="G7" s="62"/>
      <c r="H7" s="53">
        <v>46146</v>
      </c>
      <c r="I7" s="51">
        <v>900</v>
      </c>
      <c r="J7" s="62"/>
      <c r="K7" s="53">
        <v>46146</v>
      </c>
      <c r="L7" s="51">
        <v>200</v>
      </c>
      <c r="M7" s="62"/>
      <c r="N7" s="53">
        <v>46146</v>
      </c>
      <c r="O7" s="51">
        <v>460</v>
      </c>
      <c r="P7" s="62"/>
      <c r="Q7" s="53">
        <v>46146</v>
      </c>
      <c r="R7" s="51">
        <v>460</v>
      </c>
      <c r="S7" s="62"/>
      <c r="T7" s="53">
        <v>46146</v>
      </c>
      <c r="U7" s="51"/>
      <c r="V7" s="62"/>
      <c r="W7" s="53">
        <v>46146</v>
      </c>
      <c r="X7" s="51"/>
      <c r="Y7" s="62"/>
      <c r="Z7" s="53">
        <v>46146</v>
      </c>
      <c r="AA7" s="51"/>
      <c r="AB7" s="62"/>
      <c r="AC7" s="53">
        <v>46146</v>
      </c>
      <c r="AD7" s="51"/>
      <c r="AE7" s="62"/>
      <c r="AF7" s="53">
        <v>46146</v>
      </c>
      <c r="AG7" s="51"/>
      <c r="AH7" s="62"/>
      <c r="AI7" s="53">
        <v>46146</v>
      </c>
      <c r="AJ7" s="51"/>
      <c r="AK7" s="62"/>
      <c r="AL7" s="53">
        <v>46146</v>
      </c>
      <c r="AM7" s="51">
        <v>200</v>
      </c>
      <c r="AN7" s="62"/>
      <c r="AO7" s="53">
        <v>46146</v>
      </c>
      <c r="AP7" s="51">
        <v>430</v>
      </c>
      <c r="AQ7" s="62"/>
      <c r="AR7" s="53">
        <v>46146</v>
      </c>
      <c r="AS7" s="51"/>
      <c r="AT7" s="71"/>
      <c r="AU7" s="71"/>
      <c r="AV7" s="71"/>
      <c r="AW7" s="71"/>
      <c r="AX7" s="71"/>
    </row>
    <row r="8" customHeight="1" spans="2:50">
      <c r="B8" s="53">
        <v>46147</v>
      </c>
      <c r="C8" s="70">
        <v>500</v>
      </c>
      <c r="D8" s="62"/>
      <c r="E8" s="53">
        <v>46147</v>
      </c>
      <c r="F8" s="51">
        <v>230</v>
      </c>
      <c r="G8" s="62"/>
      <c r="H8" s="53">
        <v>46147</v>
      </c>
      <c r="I8" s="51">
        <v>130</v>
      </c>
      <c r="J8" s="62"/>
      <c r="K8" s="53">
        <v>46147</v>
      </c>
      <c r="L8" s="51">
        <v>536</v>
      </c>
      <c r="M8" s="62"/>
      <c r="N8" s="53">
        <v>46147</v>
      </c>
      <c r="O8" s="51">
        <v>600</v>
      </c>
      <c r="P8" s="62"/>
      <c r="Q8" s="53">
        <v>46147</v>
      </c>
      <c r="R8" s="51">
        <v>450</v>
      </c>
      <c r="S8" s="62"/>
      <c r="T8" s="53">
        <v>46147</v>
      </c>
      <c r="U8" s="51"/>
      <c r="V8" s="62"/>
      <c r="W8" s="53">
        <v>46147</v>
      </c>
      <c r="X8" s="51"/>
      <c r="Y8" s="62"/>
      <c r="Z8" s="53">
        <v>46147</v>
      </c>
      <c r="AA8" s="51">
        <v>200</v>
      </c>
      <c r="AB8" s="62"/>
      <c r="AC8" s="53">
        <v>46147</v>
      </c>
      <c r="AD8" s="51"/>
      <c r="AE8" s="62"/>
      <c r="AF8" s="53">
        <v>46147</v>
      </c>
      <c r="AG8" s="51"/>
      <c r="AH8" s="62"/>
      <c r="AI8" s="53">
        <v>46147</v>
      </c>
      <c r="AJ8" s="51">
        <v>200</v>
      </c>
      <c r="AK8" s="62"/>
      <c r="AL8" s="53">
        <v>46147</v>
      </c>
      <c r="AM8" s="51">
        <v>200</v>
      </c>
      <c r="AN8" s="62"/>
      <c r="AO8" s="53">
        <v>46147</v>
      </c>
      <c r="AP8" s="51">
        <v>450</v>
      </c>
      <c r="AQ8" s="62"/>
      <c r="AR8" s="53">
        <v>46147</v>
      </c>
      <c r="AS8" s="51"/>
      <c r="AT8" s="71"/>
      <c r="AU8" s="71"/>
      <c r="AV8" s="71"/>
      <c r="AW8" s="71"/>
      <c r="AX8" s="71"/>
    </row>
    <row r="9" customHeight="1" spans="2:50">
      <c r="B9" s="53">
        <v>46148</v>
      </c>
      <c r="C9" s="51">
        <v>1000</v>
      </c>
      <c r="D9" s="62"/>
      <c r="E9" s="53">
        <v>46148</v>
      </c>
      <c r="F9" s="51">
        <v>1280</v>
      </c>
      <c r="G9" s="62"/>
      <c r="H9" s="53">
        <v>46148</v>
      </c>
      <c r="I9" s="51">
        <v>950</v>
      </c>
      <c r="J9" s="62"/>
      <c r="K9" s="53">
        <v>46148</v>
      </c>
      <c r="L9" s="51">
        <v>1360</v>
      </c>
      <c r="M9" s="62"/>
      <c r="N9" s="53">
        <v>46148</v>
      </c>
      <c r="O9" s="51">
        <v>600</v>
      </c>
      <c r="P9" s="62"/>
      <c r="Q9" s="53">
        <v>46148</v>
      </c>
      <c r="R9" s="51">
        <v>450</v>
      </c>
      <c r="S9" s="62"/>
      <c r="T9" s="53">
        <v>46148</v>
      </c>
      <c r="U9" s="51"/>
      <c r="V9" s="62"/>
      <c r="W9" s="53">
        <v>46148</v>
      </c>
      <c r="X9" s="51"/>
      <c r="Y9" s="62"/>
      <c r="Z9" s="53">
        <v>46148</v>
      </c>
      <c r="AA9" s="51">
        <v>200</v>
      </c>
      <c r="AB9" s="62"/>
      <c r="AC9" s="53">
        <v>46148</v>
      </c>
      <c r="AD9" s="51"/>
      <c r="AE9" s="62"/>
      <c r="AF9" s="53">
        <v>46148</v>
      </c>
      <c r="AG9" s="51"/>
      <c r="AH9" s="62"/>
      <c r="AI9" s="53">
        <v>46148</v>
      </c>
      <c r="AJ9" s="51">
        <v>200</v>
      </c>
      <c r="AK9" s="62"/>
      <c r="AL9" s="53">
        <v>46148</v>
      </c>
      <c r="AM9" s="51">
        <v>200</v>
      </c>
      <c r="AN9" s="62"/>
      <c r="AO9" s="53">
        <v>46148</v>
      </c>
      <c r="AP9" s="51">
        <v>450</v>
      </c>
      <c r="AQ9" s="62"/>
      <c r="AR9" s="53">
        <v>46148</v>
      </c>
      <c r="AS9" s="51"/>
      <c r="AT9" s="71"/>
      <c r="AU9" s="71"/>
      <c r="AV9" s="71"/>
      <c r="AW9" s="71"/>
      <c r="AX9" s="71"/>
    </row>
    <row r="10" customHeight="1" spans="2:50">
      <c r="B10" s="53">
        <v>46149</v>
      </c>
      <c r="C10" s="51">
        <v>1000</v>
      </c>
      <c r="D10" s="62"/>
      <c r="E10" s="53">
        <v>46149</v>
      </c>
      <c r="F10" s="51">
        <v>965</v>
      </c>
      <c r="G10" s="62"/>
      <c r="H10" s="53">
        <v>46149</v>
      </c>
      <c r="I10" s="51">
        <v>980</v>
      </c>
      <c r="J10" s="62"/>
      <c r="K10" s="53">
        <v>46149</v>
      </c>
      <c r="L10" s="51"/>
      <c r="M10" s="62"/>
      <c r="N10" s="53">
        <v>46149</v>
      </c>
      <c r="O10" s="51">
        <v>600</v>
      </c>
      <c r="P10" s="62"/>
      <c r="Q10" s="53">
        <v>46149</v>
      </c>
      <c r="R10" s="51">
        <v>450</v>
      </c>
      <c r="S10" s="62"/>
      <c r="T10" s="53">
        <v>46149</v>
      </c>
      <c r="U10" s="51"/>
      <c r="V10" s="62"/>
      <c r="W10" s="53">
        <v>46149</v>
      </c>
      <c r="X10" s="51"/>
      <c r="Y10" s="62"/>
      <c r="Z10" s="53">
        <v>46149</v>
      </c>
      <c r="AA10" s="51">
        <v>200</v>
      </c>
      <c r="AB10" s="62"/>
      <c r="AC10" s="53">
        <v>46149</v>
      </c>
      <c r="AD10" s="51"/>
      <c r="AE10" s="62"/>
      <c r="AF10" s="53">
        <v>46149</v>
      </c>
      <c r="AG10" s="51">
        <v>278</v>
      </c>
      <c r="AH10" s="62"/>
      <c r="AI10" s="53">
        <v>46149</v>
      </c>
      <c r="AJ10" s="51">
        <v>200</v>
      </c>
      <c r="AK10" s="62"/>
      <c r="AL10" s="53">
        <v>46149</v>
      </c>
      <c r="AM10" s="51">
        <v>200</v>
      </c>
      <c r="AN10" s="62"/>
      <c r="AO10" s="53">
        <v>46149</v>
      </c>
      <c r="AP10" s="51">
        <v>450</v>
      </c>
      <c r="AQ10" s="62"/>
      <c r="AR10" s="53">
        <v>46149</v>
      </c>
      <c r="AS10" s="51"/>
      <c r="AT10" s="71"/>
      <c r="AU10" s="71"/>
      <c r="AV10" s="71"/>
      <c r="AW10" s="71"/>
      <c r="AX10" s="71"/>
    </row>
    <row r="11" customHeight="1" spans="2:50">
      <c r="B11" s="53">
        <v>46150</v>
      </c>
      <c r="C11" s="51">
        <v>100</v>
      </c>
      <c r="D11" s="62"/>
      <c r="E11" s="53">
        <v>46150</v>
      </c>
      <c r="F11" s="51">
        <v>230</v>
      </c>
      <c r="G11" s="62"/>
      <c r="H11" s="53">
        <v>46150</v>
      </c>
      <c r="I11" s="51">
        <v>130</v>
      </c>
      <c r="J11" s="62"/>
      <c r="K11" s="53">
        <v>46150</v>
      </c>
      <c r="L11" s="51">
        <v>290</v>
      </c>
      <c r="M11" s="62"/>
      <c r="N11" s="53">
        <v>46150</v>
      </c>
      <c r="O11" s="51">
        <v>810</v>
      </c>
      <c r="P11" s="62"/>
      <c r="Q11" s="53">
        <v>46150</v>
      </c>
      <c r="R11" s="51">
        <v>578</v>
      </c>
      <c r="S11" s="62"/>
      <c r="T11" s="53">
        <v>46150</v>
      </c>
      <c r="U11" s="51"/>
      <c r="V11" s="62"/>
      <c r="W11" s="53">
        <v>46150</v>
      </c>
      <c r="X11" s="51"/>
      <c r="Y11" s="62"/>
      <c r="Z11" s="53">
        <v>46150</v>
      </c>
      <c r="AA11" s="51">
        <v>200</v>
      </c>
      <c r="AB11" s="62"/>
      <c r="AC11" s="53">
        <v>46150</v>
      </c>
      <c r="AD11" s="51"/>
      <c r="AE11" s="62"/>
      <c r="AF11" s="53">
        <v>46150</v>
      </c>
      <c r="AG11" s="51"/>
      <c r="AH11" s="62"/>
      <c r="AI11" s="53">
        <v>46150</v>
      </c>
      <c r="AJ11" s="51">
        <v>478</v>
      </c>
      <c r="AK11" s="62"/>
      <c r="AL11" s="53">
        <v>46150</v>
      </c>
      <c r="AM11" s="51">
        <v>278</v>
      </c>
      <c r="AN11" s="62"/>
      <c r="AO11" s="53">
        <v>46150</v>
      </c>
      <c r="AP11" s="51">
        <v>496</v>
      </c>
      <c r="AQ11" s="62"/>
      <c r="AR11" s="53">
        <v>46150</v>
      </c>
      <c r="AS11" s="51"/>
      <c r="AT11" s="71"/>
      <c r="AU11" s="71"/>
      <c r="AV11" s="71"/>
      <c r="AW11" s="71"/>
      <c r="AX11" s="71"/>
    </row>
    <row r="12" customHeight="1" spans="2:50">
      <c r="B12" s="50">
        <v>46151</v>
      </c>
      <c r="C12" s="52"/>
      <c r="D12" s="62"/>
      <c r="E12" s="50">
        <v>46151</v>
      </c>
      <c r="F12" s="52"/>
      <c r="G12" s="62"/>
      <c r="H12" s="50">
        <v>46151</v>
      </c>
      <c r="I12" s="52"/>
      <c r="J12" s="62"/>
      <c r="K12" s="50">
        <v>46151</v>
      </c>
      <c r="L12" s="52"/>
      <c r="M12" s="62"/>
      <c r="N12" s="50">
        <v>46151</v>
      </c>
      <c r="O12" s="52"/>
      <c r="P12" s="62"/>
      <c r="Q12" s="50">
        <v>46151</v>
      </c>
      <c r="R12" s="52"/>
      <c r="S12" s="62"/>
      <c r="T12" s="50">
        <v>46151</v>
      </c>
      <c r="U12" s="52"/>
      <c r="V12" s="62"/>
      <c r="W12" s="50">
        <v>46151</v>
      </c>
      <c r="X12" s="52"/>
      <c r="Y12" s="62"/>
      <c r="Z12" s="50">
        <v>46151</v>
      </c>
      <c r="AA12" s="52"/>
      <c r="AB12" s="62"/>
      <c r="AC12" s="50">
        <v>46151</v>
      </c>
      <c r="AD12" s="52"/>
      <c r="AE12" s="62"/>
      <c r="AF12" s="50">
        <v>46151</v>
      </c>
      <c r="AG12" s="52"/>
      <c r="AH12" s="62"/>
      <c r="AI12" s="50">
        <v>46151</v>
      </c>
      <c r="AJ12" s="52"/>
      <c r="AK12" s="62"/>
      <c r="AL12" s="50">
        <v>46151</v>
      </c>
      <c r="AM12" s="52"/>
      <c r="AN12" s="62"/>
      <c r="AO12" s="50">
        <v>46151</v>
      </c>
      <c r="AP12" s="52"/>
      <c r="AQ12" s="62"/>
      <c r="AR12" s="50">
        <v>46151</v>
      </c>
      <c r="AS12" s="52"/>
      <c r="AT12" s="71"/>
      <c r="AU12" s="71"/>
      <c r="AV12" s="71"/>
      <c r="AW12" s="71"/>
      <c r="AX12" s="71"/>
    </row>
    <row r="13" customHeight="1" spans="2:50">
      <c r="B13" s="50">
        <v>46152</v>
      </c>
      <c r="C13" s="52">
        <v>500</v>
      </c>
      <c r="D13" s="62"/>
      <c r="E13" s="50">
        <v>46152</v>
      </c>
      <c r="F13" s="52"/>
      <c r="G13" s="62"/>
      <c r="H13" s="50">
        <v>46152</v>
      </c>
      <c r="I13" s="52"/>
      <c r="J13" s="62"/>
      <c r="K13" s="50">
        <v>46152</v>
      </c>
      <c r="L13" s="52"/>
      <c r="M13" s="62"/>
      <c r="N13" s="50">
        <v>46152</v>
      </c>
      <c r="O13" s="52"/>
      <c r="P13" s="62"/>
      <c r="Q13" s="50">
        <v>46152</v>
      </c>
      <c r="R13" s="52"/>
      <c r="S13" s="62"/>
      <c r="T13" s="50">
        <v>46152</v>
      </c>
      <c r="U13" s="52"/>
      <c r="V13" s="62"/>
      <c r="W13" s="50">
        <v>46152</v>
      </c>
      <c r="X13" s="52"/>
      <c r="Y13" s="62"/>
      <c r="Z13" s="50">
        <v>46152</v>
      </c>
      <c r="AA13" s="52"/>
      <c r="AB13" s="62"/>
      <c r="AC13" s="50">
        <v>46152</v>
      </c>
      <c r="AD13" s="52"/>
      <c r="AE13" s="62"/>
      <c r="AF13" s="50">
        <v>46152</v>
      </c>
      <c r="AG13" s="52"/>
      <c r="AH13" s="62"/>
      <c r="AI13" s="50">
        <v>46152</v>
      </c>
      <c r="AJ13" s="52"/>
      <c r="AK13" s="62"/>
      <c r="AL13" s="50">
        <v>46152</v>
      </c>
      <c r="AM13" s="52"/>
      <c r="AN13" s="62"/>
      <c r="AO13" s="50">
        <v>46152</v>
      </c>
      <c r="AP13" s="52"/>
      <c r="AQ13" s="62"/>
      <c r="AR13" s="50">
        <v>46152</v>
      </c>
      <c r="AS13" s="52"/>
      <c r="AT13" s="71"/>
      <c r="AU13" s="71"/>
      <c r="AV13" s="71"/>
      <c r="AW13" s="71"/>
      <c r="AX13" s="71"/>
    </row>
    <row r="14" customHeight="1" spans="2:50">
      <c r="B14" s="53">
        <v>46153</v>
      </c>
      <c r="C14" s="51">
        <v>900</v>
      </c>
      <c r="D14" s="62"/>
      <c r="E14" s="53">
        <v>46153</v>
      </c>
      <c r="F14" s="51">
        <v>200</v>
      </c>
      <c r="G14" s="62"/>
      <c r="H14" s="53">
        <v>46153</v>
      </c>
      <c r="I14" s="51">
        <v>200</v>
      </c>
      <c r="J14" s="62"/>
      <c r="K14" s="53">
        <v>46153</v>
      </c>
      <c r="L14" s="51">
        <v>700</v>
      </c>
      <c r="M14" s="62"/>
      <c r="N14" s="53">
        <v>46153</v>
      </c>
      <c r="O14" s="51">
        <v>200</v>
      </c>
      <c r="P14" s="62"/>
      <c r="Q14" s="53">
        <v>46153</v>
      </c>
      <c r="R14" s="51">
        <v>600</v>
      </c>
      <c r="S14" s="62"/>
      <c r="T14" s="53">
        <v>46153</v>
      </c>
      <c r="U14" s="51"/>
      <c r="V14" s="62"/>
      <c r="W14" s="53">
        <v>46153</v>
      </c>
      <c r="X14" s="51"/>
      <c r="Y14" s="62"/>
      <c r="Z14" s="53">
        <v>46153</v>
      </c>
      <c r="AA14" s="51"/>
      <c r="AB14" s="62"/>
      <c r="AC14" s="53">
        <v>46153</v>
      </c>
      <c r="AD14" s="51"/>
      <c r="AE14" s="62"/>
      <c r="AF14" s="53">
        <v>46153</v>
      </c>
      <c r="AG14" s="51"/>
      <c r="AH14" s="62"/>
      <c r="AI14" s="53">
        <v>46153</v>
      </c>
      <c r="AJ14" s="51"/>
      <c r="AK14" s="62"/>
      <c r="AL14" s="53">
        <v>46153</v>
      </c>
      <c r="AM14" s="51">
        <v>200</v>
      </c>
      <c r="AN14" s="62"/>
      <c r="AO14" s="53">
        <v>46153</v>
      </c>
      <c r="AP14" s="51"/>
      <c r="AQ14" s="62"/>
      <c r="AR14" s="53">
        <v>46153</v>
      </c>
      <c r="AS14" s="51"/>
      <c r="AT14" s="71"/>
      <c r="AU14" s="71"/>
      <c r="AV14" s="71"/>
      <c r="AW14" s="71"/>
      <c r="AX14" s="71"/>
    </row>
    <row r="15" customHeight="1" spans="2:50">
      <c r="B15" s="53">
        <v>46154</v>
      </c>
      <c r="C15" s="51">
        <v>500</v>
      </c>
      <c r="D15" s="62"/>
      <c r="E15" s="53">
        <v>46154</v>
      </c>
      <c r="F15" s="51">
        <v>290</v>
      </c>
      <c r="G15" s="62"/>
      <c r="H15" s="53">
        <v>46154</v>
      </c>
      <c r="I15" s="51">
        <v>528</v>
      </c>
      <c r="J15" s="62"/>
      <c r="K15" s="53">
        <v>46154</v>
      </c>
      <c r="L15" s="51">
        <v>230</v>
      </c>
      <c r="M15" s="62"/>
      <c r="N15" s="53">
        <v>46154</v>
      </c>
      <c r="O15" s="51">
        <v>200</v>
      </c>
      <c r="P15" s="62"/>
      <c r="Q15" s="53">
        <v>46154</v>
      </c>
      <c r="R15" s="51">
        <v>450</v>
      </c>
      <c r="S15" s="62"/>
      <c r="T15" s="53">
        <v>46154</v>
      </c>
      <c r="U15" s="51"/>
      <c r="V15" s="62"/>
      <c r="W15" s="53">
        <v>46154</v>
      </c>
      <c r="X15" s="51"/>
      <c r="Y15" s="62"/>
      <c r="Z15" s="53">
        <v>46154</v>
      </c>
      <c r="AA15" s="51"/>
      <c r="AB15" s="62"/>
      <c r="AC15" s="53">
        <v>46154</v>
      </c>
      <c r="AD15" s="51"/>
      <c r="AE15" s="62"/>
      <c r="AF15" s="53">
        <v>46154</v>
      </c>
      <c r="AG15" s="51"/>
      <c r="AH15" s="62"/>
      <c r="AI15" s="53">
        <v>46154</v>
      </c>
      <c r="AJ15" s="51">
        <v>200</v>
      </c>
      <c r="AK15" s="62"/>
      <c r="AL15" s="53">
        <v>46154</v>
      </c>
      <c r="AM15" s="51">
        <v>200</v>
      </c>
      <c r="AN15" s="62"/>
      <c r="AO15" s="53">
        <v>46154</v>
      </c>
      <c r="AP15" s="51">
        <v>230</v>
      </c>
      <c r="AQ15" s="62"/>
      <c r="AR15" s="53">
        <v>46154</v>
      </c>
      <c r="AS15" s="51"/>
      <c r="AT15" s="71"/>
      <c r="AU15" s="71"/>
      <c r="AV15" s="71"/>
      <c r="AW15" s="71"/>
      <c r="AX15" s="71"/>
    </row>
    <row r="16" customHeight="1" spans="2:50">
      <c r="B16" s="53">
        <v>46155</v>
      </c>
      <c r="C16" s="51">
        <v>400</v>
      </c>
      <c r="D16" s="62"/>
      <c r="E16" s="53">
        <v>46155</v>
      </c>
      <c r="F16" s="51">
        <v>200</v>
      </c>
      <c r="G16" s="62"/>
      <c r="H16" s="53">
        <v>46155</v>
      </c>
      <c r="I16" s="51">
        <v>400</v>
      </c>
      <c r="J16" s="62"/>
      <c r="K16" s="53">
        <v>46155</v>
      </c>
      <c r="L16" s="51">
        <v>200</v>
      </c>
      <c r="M16" s="62"/>
      <c r="N16" s="53">
        <v>46155</v>
      </c>
      <c r="O16" s="51">
        <v>464</v>
      </c>
      <c r="P16" s="62"/>
      <c r="Q16" s="53">
        <v>46155</v>
      </c>
      <c r="R16" s="51">
        <v>496</v>
      </c>
      <c r="S16" s="62"/>
      <c r="T16" s="53">
        <v>46155</v>
      </c>
      <c r="U16" s="51"/>
      <c r="V16" s="62"/>
      <c r="W16" s="53">
        <v>46155</v>
      </c>
      <c r="X16" s="51"/>
      <c r="Y16" s="62"/>
      <c r="Z16" s="53">
        <v>46155</v>
      </c>
      <c r="AA16" s="51"/>
      <c r="AB16" s="62"/>
      <c r="AC16" s="53">
        <v>46155</v>
      </c>
      <c r="AD16" s="51"/>
      <c r="AE16" s="62"/>
      <c r="AF16" s="53">
        <v>46155</v>
      </c>
      <c r="AG16" s="51"/>
      <c r="AH16" s="62"/>
      <c r="AI16" s="53">
        <v>46155</v>
      </c>
      <c r="AJ16" s="51">
        <v>478</v>
      </c>
      <c r="AK16" s="62"/>
      <c r="AL16" s="53">
        <v>46155</v>
      </c>
      <c r="AM16" s="51">
        <v>463</v>
      </c>
      <c r="AN16" s="62"/>
      <c r="AO16" s="53">
        <v>46155</v>
      </c>
      <c r="AP16" s="51">
        <v>364</v>
      </c>
      <c r="AQ16" s="62"/>
      <c r="AR16" s="53">
        <v>46155</v>
      </c>
      <c r="AS16" s="51"/>
      <c r="AT16" s="71"/>
      <c r="AU16" s="71"/>
      <c r="AV16" s="71"/>
      <c r="AW16" s="71"/>
      <c r="AX16" s="71"/>
    </row>
    <row r="17" customHeight="1" spans="2:50">
      <c r="B17" s="53">
        <v>46156</v>
      </c>
      <c r="C17" s="51">
        <v>1300</v>
      </c>
      <c r="D17" s="62"/>
      <c r="E17" s="53">
        <v>46156</v>
      </c>
      <c r="F17" s="51">
        <v>290</v>
      </c>
      <c r="G17" s="62"/>
      <c r="H17" s="53">
        <v>46156</v>
      </c>
      <c r="I17" s="51">
        <v>1250</v>
      </c>
      <c r="J17" s="62"/>
      <c r="K17" s="53">
        <v>46156</v>
      </c>
      <c r="L17" s="51">
        <v>200</v>
      </c>
      <c r="M17" s="62"/>
      <c r="N17" s="53">
        <v>46156</v>
      </c>
      <c r="O17" s="51">
        <v>450</v>
      </c>
      <c r="P17" s="62"/>
      <c r="Q17" s="53">
        <v>46156</v>
      </c>
      <c r="R17" s="51">
        <v>350</v>
      </c>
      <c r="S17" s="62"/>
      <c r="T17" s="53">
        <v>46156</v>
      </c>
      <c r="U17" s="51">
        <v>200</v>
      </c>
      <c r="V17" s="62"/>
      <c r="W17" s="53">
        <v>46156</v>
      </c>
      <c r="X17" s="51"/>
      <c r="Y17" s="62"/>
      <c r="Z17" s="53">
        <v>46156</v>
      </c>
      <c r="AA17" s="51"/>
      <c r="AB17" s="62"/>
      <c r="AC17" s="53">
        <v>46156</v>
      </c>
      <c r="AD17" s="51"/>
      <c r="AE17" s="62"/>
      <c r="AF17" s="53">
        <v>46156</v>
      </c>
      <c r="AG17" s="51"/>
      <c r="AH17" s="62"/>
      <c r="AI17" s="53">
        <v>46156</v>
      </c>
      <c r="AJ17" s="51"/>
      <c r="AK17" s="62"/>
      <c r="AL17" s="53">
        <v>46156</v>
      </c>
      <c r="AM17" s="51"/>
      <c r="AN17" s="62"/>
      <c r="AO17" s="53">
        <v>46156</v>
      </c>
      <c r="AP17" s="51">
        <v>200</v>
      </c>
      <c r="AQ17" s="62"/>
      <c r="AR17" s="53">
        <v>46156</v>
      </c>
      <c r="AS17" s="51"/>
      <c r="AT17" s="71"/>
      <c r="AU17" s="71"/>
      <c r="AV17" s="71"/>
      <c r="AW17" s="71"/>
      <c r="AX17" s="71"/>
    </row>
    <row r="18" customHeight="1" spans="2:50">
      <c r="B18" s="53">
        <v>46157</v>
      </c>
      <c r="C18" s="51">
        <v>200</v>
      </c>
      <c r="D18" s="62"/>
      <c r="E18" s="53">
        <v>46157</v>
      </c>
      <c r="F18" s="51">
        <v>458</v>
      </c>
      <c r="G18" s="62"/>
      <c r="H18" s="53">
        <v>46157</v>
      </c>
      <c r="I18" s="51">
        <v>200</v>
      </c>
      <c r="J18" s="62"/>
      <c r="K18" s="53">
        <v>46157</v>
      </c>
      <c r="L18" s="51">
        <v>200</v>
      </c>
      <c r="M18" s="62"/>
      <c r="N18" s="53">
        <v>46157</v>
      </c>
      <c r="O18" s="51">
        <v>1015</v>
      </c>
      <c r="P18" s="62"/>
      <c r="Q18" s="53">
        <v>46157</v>
      </c>
      <c r="R18" s="51">
        <v>200</v>
      </c>
      <c r="S18" s="62"/>
      <c r="T18" s="53">
        <v>46157</v>
      </c>
      <c r="U18" s="51"/>
      <c r="V18" s="62"/>
      <c r="W18" s="53">
        <v>46157</v>
      </c>
      <c r="X18" s="51"/>
      <c r="Y18" s="62"/>
      <c r="Z18" s="53">
        <v>46157</v>
      </c>
      <c r="AA18" s="51">
        <v>200</v>
      </c>
      <c r="AB18" s="62"/>
      <c r="AC18" s="53">
        <v>46157</v>
      </c>
      <c r="AD18" s="51"/>
      <c r="AE18" s="62"/>
      <c r="AF18" s="53">
        <v>46157</v>
      </c>
      <c r="AG18" s="51"/>
      <c r="AH18" s="62"/>
      <c r="AI18" s="53">
        <v>46157</v>
      </c>
      <c r="AJ18" s="51"/>
      <c r="AK18" s="62"/>
      <c r="AL18" s="53">
        <v>46157</v>
      </c>
      <c r="AM18" s="51">
        <v>601</v>
      </c>
      <c r="AN18" s="62"/>
      <c r="AO18" s="53">
        <v>46157</v>
      </c>
      <c r="AP18" s="51">
        <v>845</v>
      </c>
      <c r="AQ18" s="62"/>
      <c r="AR18" s="53">
        <v>46157</v>
      </c>
      <c r="AS18" s="51"/>
      <c r="AT18" s="71"/>
      <c r="AU18" s="71"/>
      <c r="AV18" s="71"/>
      <c r="AW18" s="71"/>
      <c r="AX18" s="71"/>
    </row>
    <row r="19" customHeight="1" spans="2:50">
      <c r="B19" s="50">
        <v>46158</v>
      </c>
      <c r="C19" s="51">
        <v>1100</v>
      </c>
      <c r="D19" s="62"/>
      <c r="E19" s="50">
        <v>46158</v>
      </c>
      <c r="F19" s="52"/>
      <c r="G19" s="62"/>
      <c r="H19" s="50">
        <v>46158</v>
      </c>
      <c r="I19" s="51">
        <v>1050</v>
      </c>
      <c r="J19" s="62"/>
      <c r="K19" s="50">
        <v>46158</v>
      </c>
      <c r="L19" s="52"/>
      <c r="M19" s="62"/>
      <c r="N19" s="50">
        <v>46158</v>
      </c>
      <c r="O19" s="52"/>
      <c r="P19" s="62"/>
      <c r="Q19" s="50">
        <v>46158</v>
      </c>
      <c r="R19" s="52"/>
      <c r="S19" s="62"/>
      <c r="T19" s="50">
        <v>46158</v>
      </c>
      <c r="U19" s="52"/>
      <c r="V19" s="62"/>
      <c r="W19" s="50">
        <v>46158</v>
      </c>
      <c r="X19" s="52"/>
      <c r="Y19" s="62"/>
      <c r="Z19" s="50">
        <v>46158</v>
      </c>
      <c r="AA19" s="52"/>
      <c r="AB19" s="62"/>
      <c r="AC19" s="50">
        <v>46158</v>
      </c>
      <c r="AD19" s="52"/>
      <c r="AE19" s="62"/>
      <c r="AF19" s="50">
        <v>46158</v>
      </c>
      <c r="AG19" s="52"/>
      <c r="AH19" s="62"/>
      <c r="AI19" s="50">
        <v>46158</v>
      </c>
      <c r="AJ19" s="52"/>
      <c r="AK19" s="62"/>
      <c r="AL19" s="50">
        <v>46158</v>
      </c>
      <c r="AM19" s="52"/>
      <c r="AN19" s="62"/>
      <c r="AO19" s="50">
        <v>46158</v>
      </c>
      <c r="AP19" s="52"/>
      <c r="AQ19" s="62"/>
      <c r="AR19" s="50">
        <v>46158</v>
      </c>
      <c r="AS19" s="52"/>
      <c r="AT19" s="71"/>
      <c r="AU19" s="71"/>
      <c r="AV19" s="71"/>
      <c r="AW19" s="71"/>
      <c r="AX19" s="71"/>
    </row>
    <row r="20" customHeight="1" spans="2:50">
      <c r="B20" s="50">
        <v>46159</v>
      </c>
      <c r="C20" s="51">
        <v>1100</v>
      </c>
      <c r="D20" s="62"/>
      <c r="E20" s="50">
        <v>46159</v>
      </c>
      <c r="F20" s="52"/>
      <c r="G20" s="62"/>
      <c r="H20" s="50">
        <v>46159</v>
      </c>
      <c r="I20" s="51">
        <v>1050</v>
      </c>
      <c r="J20" s="62"/>
      <c r="K20" s="50">
        <v>46159</v>
      </c>
      <c r="L20" s="52"/>
      <c r="M20" s="62"/>
      <c r="N20" s="50">
        <v>46159</v>
      </c>
      <c r="O20" s="52"/>
      <c r="P20" s="62"/>
      <c r="Q20" s="50">
        <v>46159</v>
      </c>
      <c r="R20" s="52"/>
      <c r="S20" s="62"/>
      <c r="T20" s="50">
        <v>46159</v>
      </c>
      <c r="U20" s="52"/>
      <c r="V20" s="62"/>
      <c r="W20" s="50">
        <v>46159</v>
      </c>
      <c r="X20" s="52"/>
      <c r="Y20" s="62"/>
      <c r="Z20" s="50">
        <v>46159</v>
      </c>
      <c r="AA20" s="52"/>
      <c r="AB20" s="62"/>
      <c r="AC20" s="50">
        <v>46159</v>
      </c>
      <c r="AD20" s="52"/>
      <c r="AE20" s="62"/>
      <c r="AF20" s="50">
        <v>46159</v>
      </c>
      <c r="AG20" s="52"/>
      <c r="AH20" s="62"/>
      <c r="AI20" s="50">
        <v>46159</v>
      </c>
      <c r="AJ20" s="52"/>
      <c r="AK20" s="62"/>
      <c r="AL20" s="50">
        <v>46159</v>
      </c>
      <c r="AM20" s="52"/>
      <c r="AN20" s="62"/>
      <c r="AO20" s="50">
        <v>46159</v>
      </c>
      <c r="AP20" s="52"/>
      <c r="AQ20" s="62"/>
      <c r="AR20" s="50">
        <v>46159</v>
      </c>
      <c r="AS20" s="52"/>
      <c r="AT20" s="71"/>
      <c r="AU20" s="71"/>
      <c r="AV20" s="71"/>
      <c r="AW20" s="71"/>
      <c r="AX20" s="71"/>
    </row>
    <row r="21" customHeight="1" spans="2:50">
      <c r="B21" s="53">
        <v>46160</v>
      </c>
      <c r="C21" s="51">
        <v>700</v>
      </c>
      <c r="D21" s="62"/>
      <c r="E21" s="53">
        <v>46160</v>
      </c>
      <c r="F21" s="51">
        <v>550</v>
      </c>
      <c r="G21" s="62"/>
      <c r="H21" s="53">
        <v>46160</v>
      </c>
      <c r="I21" s="51">
        <v>700</v>
      </c>
      <c r="J21" s="62"/>
      <c r="K21" s="53">
        <v>46160</v>
      </c>
      <c r="L21" s="51">
        <v>450</v>
      </c>
      <c r="M21" s="62"/>
      <c r="N21" s="53">
        <v>46160</v>
      </c>
      <c r="O21" s="51">
        <v>763</v>
      </c>
      <c r="P21" s="62"/>
      <c r="Q21" s="53">
        <v>46160</v>
      </c>
      <c r="R21" s="51">
        <v>200</v>
      </c>
      <c r="S21" s="62"/>
      <c r="T21" s="53">
        <v>46160</v>
      </c>
      <c r="U21" s="51"/>
      <c r="V21" s="62"/>
      <c r="W21" s="53">
        <v>46160</v>
      </c>
      <c r="X21" s="51"/>
      <c r="Y21" s="62"/>
      <c r="Z21" s="53">
        <v>46160</v>
      </c>
      <c r="AA21" s="51"/>
      <c r="AB21" s="62"/>
      <c r="AC21" s="53">
        <v>46160</v>
      </c>
      <c r="AD21" s="51"/>
      <c r="AE21" s="62"/>
      <c r="AF21" s="53">
        <v>46160</v>
      </c>
      <c r="AG21" s="51"/>
      <c r="AH21" s="62"/>
      <c r="AI21" s="53">
        <v>46160</v>
      </c>
      <c r="AJ21" s="51"/>
      <c r="AK21" s="62"/>
      <c r="AL21" s="53">
        <v>46160</v>
      </c>
      <c r="AM21" s="51">
        <v>463</v>
      </c>
      <c r="AN21" s="62"/>
      <c r="AO21" s="53">
        <v>46160</v>
      </c>
      <c r="AP21" s="51">
        <v>394</v>
      </c>
      <c r="AQ21" s="62"/>
      <c r="AR21" s="53">
        <v>46160</v>
      </c>
      <c r="AS21" s="51"/>
      <c r="AT21" s="71"/>
      <c r="AU21" s="71"/>
      <c r="AV21" s="71"/>
      <c r="AW21" s="71"/>
      <c r="AX21" s="71"/>
    </row>
    <row r="22" customHeight="1" spans="2:50">
      <c r="B22" s="53">
        <v>46161</v>
      </c>
      <c r="C22" s="51">
        <v>1497</v>
      </c>
      <c r="D22" s="62"/>
      <c r="E22" s="53">
        <v>46161</v>
      </c>
      <c r="F22" s="51">
        <v>1497</v>
      </c>
      <c r="G22" s="62"/>
      <c r="H22" s="53">
        <v>46161</v>
      </c>
      <c r="I22" s="51">
        <v>1431</v>
      </c>
      <c r="J22" s="62"/>
      <c r="K22" s="53">
        <v>46161</v>
      </c>
      <c r="L22" s="51">
        <v>1597</v>
      </c>
      <c r="M22" s="62"/>
      <c r="N22" s="53">
        <v>46161</v>
      </c>
      <c r="O22" s="51">
        <v>400</v>
      </c>
      <c r="P22" s="62"/>
      <c r="Q22" s="53">
        <v>46161</v>
      </c>
      <c r="R22" s="51">
        <v>550</v>
      </c>
      <c r="S22" s="62"/>
      <c r="T22" s="53">
        <v>46161</v>
      </c>
      <c r="U22" s="51"/>
      <c r="V22" s="62"/>
      <c r="W22" s="53">
        <v>46161</v>
      </c>
      <c r="X22" s="51"/>
      <c r="Y22" s="62"/>
      <c r="Z22" s="53">
        <v>46161</v>
      </c>
      <c r="AA22" s="51">
        <v>200</v>
      </c>
      <c r="AB22" s="62"/>
      <c r="AC22" s="53">
        <v>46161</v>
      </c>
      <c r="AD22" s="51"/>
      <c r="AE22" s="62"/>
      <c r="AF22" s="53">
        <v>46161</v>
      </c>
      <c r="AG22" s="51">
        <v>200</v>
      </c>
      <c r="AH22" s="62"/>
      <c r="AI22" s="53">
        <v>46161</v>
      </c>
      <c r="AJ22" s="51">
        <v>200</v>
      </c>
      <c r="AK22" s="62"/>
      <c r="AL22" s="53">
        <v>46161</v>
      </c>
      <c r="AM22" s="51">
        <v>200</v>
      </c>
      <c r="AN22" s="62"/>
      <c r="AO22" s="53">
        <v>46161</v>
      </c>
      <c r="AP22" s="51">
        <v>618</v>
      </c>
      <c r="AQ22" s="62"/>
      <c r="AR22" s="53">
        <v>46161</v>
      </c>
      <c r="AS22" s="51"/>
      <c r="AT22" s="71"/>
      <c r="AU22" s="71"/>
      <c r="AV22" s="71"/>
      <c r="AW22" s="71"/>
      <c r="AX22" s="71"/>
    </row>
    <row r="23" customHeight="1" spans="2:50">
      <c r="B23" s="53">
        <v>46162</v>
      </c>
      <c r="C23" s="52"/>
      <c r="D23" s="62"/>
      <c r="E23" s="53">
        <v>46162</v>
      </c>
      <c r="F23" s="51">
        <v>564</v>
      </c>
      <c r="G23" s="62"/>
      <c r="H23" s="53">
        <v>46162</v>
      </c>
      <c r="I23" s="52"/>
      <c r="J23" s="62"/>
      <c r="K23" s="53">
        <v>46162</v>
      </c>
      <c r="L23" s="51">
        <v>290</v>
      </c>
      <c r="M23" s="62"/>
      <c r="N23" s="53">
        <v>46162</v>
      </c>
      <c r="O23" s="51">
        <v>200</v>
      </c>
      <c r="P23" s="62"/>
      <c r="Q23" s="53">
        <v>46162</v>
      </c>
      <c r="R23" s="51">
        <v>450</v>
      </c>
      <c r="S23" s="62"/>
      <c r="T23" s="53">
        <v>46162</v>
      </c>
      <c r="U23" s="51"/>
      <c r="V23" s="62"/>
      <c r="W23" s="53">
        <v>46162</v>
      </c>
      <c r="X23" s="51"/>
      <c r="Y23" s="62"/>
      <c r="Z23" s="53">
        <v>46162</v>
      </c>
      <c r="AA23" s="51">
        <v>200</v>
      </c>
      <c r="AB23" s="62"/>
      <c r="AC23" s="53">
        <v>46162</v>
      </c>
      <c r="AD23" s="51"/>
      <c r="AE23" s="62"/>
      <c r="AF23" s="53">
        <v>46162</v>
      </c>
      <c r="AG23" s="51"/>
      <c r="AH23" s="62"/>
      <c r="AI23" s="53">
        <v>46162</v>
      </c>
      <c r="AJ23" s="51">
        <v>200</v>
      </c>
      <c r="AK23" s="62"/>
      <c r="AL23" s="53">
        <v>46162</v>
      </c>
      <c r="AM23" s="51"/>
      <c r="AN23" s="62"/>
      <c r="AO23" s="53">
        <v>46162</v>
      </c>
      <c r="AP23" s="51">
        <v>320</v>
      </c>
      <c r="AQ23" s="62"/>
      <c r="AR23" s="53">
        <v>46162</v>
      </c>
      <c r="AS23" s="51">
        <v>1000</v>
      </c>
      <c r="AT23" s="71"/>
      <c r="AU23" s="71"/>
      <c r="AV23" s="71"/>
      <c r="AW23" s="71"/>
      <c r="AX23" s="71"/>
    </row>
    <row r="24" customHeight="1" spans="2:50">
      <c r="B24" s="53">
        <v>46163</v>
      </c>
      <c r="C24" s="52">
        <v>500</v>
      </c>
      <c r="D24" s="62"/>
      <c r="E24" s="53">
        <v>46163</v>
      </c>
      <c r="F24" s="51">
        <v>400</v>
      </c>
      <c r="G24" s="62"/>
      <c r="H24" s="53">
        <v>46163</v>
      </c>
      <c r="I24" s="51">
        <v>446</v>
      </c>
      <c r="J24" s="62"/>
      <c r="K24" s="53">
        <v>46163</v>
      </c>
      <c r="L24" s="51">
        <v>290</v>
      </c>
      <c r="M24" s="62"/>
      <c r="N24" s="53">
        <v>46163</v>
      </c>
      <c r="O24" s="51">
        <v>200</v>
      </c>
      <c r="P24" s="62"/>
      <c r="Q24" s="53">
        <v>46163</v>
      </c>
      <c r="R24" s="51">
        <v>450</v>
      </c>
      <c r="S24" s="62"/>
      <c r="T24" s="53">
        <v>46163</v>
      </c>
      <c r="U24" s="51"/>
      <c r="V24" s="62"/>
      <c r="W24" s="53">
        <v>46163</v>
      </c>
      <c r="X24" s="51"/>
      <c r="Y24" s="62"/>
      <c r="Z24" s="53">
        <v>46163</v>
      </c>
      <c r="AA24" s="51">
        <v>200</v>
      </c>
      <c r="AB24" s="62"/>
      <c r="AC24" s="53">
        <v>46163</v>
      </c>
      <c r="AD24" s="51"/>
      <c r="AE24" s="62"/>
      <c r="AF24" s="53">
        <v>46163</v>
      </c>
      <c r="AG24" s="51"/>
      <c r="AH24" s="62"/>
      <c r="AI24" s="53">
        <v>46163</v>
      </c>
      <c r="AJ24" s="51">
        <v>200</v>
      </c>
      <c r="AK24" s="62"/>
      <c r="AL24" s="53">
        <v>46163</v>
      </c>
      <c r="AM24" s="51"/>
      <c r="AN24" s="62"/>
      <c r="AO24" s="53">
        <v>46163</v>
      </c>
      <c r="AP24" s="51">
        <v>290</v>
      </c>
      <c r="AQ24" s="62"/>
      <c r="AR24" s="53">
        <v>46163</v>
      </c>
      <c r="AS24" s="51">
        <v>200</v>
      </c>
      <c r="AT24" s="71"/>
      <c r="AU24" s="71"/>
      <c r="AV24" s="71"/>
      <c r="AW24" s="71"/>
      <c r="AX24" s="71"/>
    </row>
    <row r="25" customHeight="1" spans="2:50">
      <c r="B25" s="53">
        <v>46164</v>
      </c>
      <c r="C25" s="51">
        <v>320</v>
      </c>
      <c r="D25" s="62"/>
      <c r="E25" s="53">
        <v>46164</v>
      </c>
      <c r="F25" s="51">
        <v>454</v>
      </c>
      <c r="G25" s="62"/>
      <c r="H25" s="53">
        <v>46164</v>
      </c>
      <c r="I25" s="52"/>
      <c r="J25" s="62"/>
      <c r="K25" s="53">
        <v>46164</v>
      </c>
      <c r="L25" s="51">
        <v>200</v>
      </c>
      <c r="M25" s="62"/>
      <c r="N25" s="53">
        <v>46164</v>
      </c>
      <c r="O25" s="51">
        <v>400</v>
      </c>
      <c r="P25" s="62"/>
      <c r="Q25" s="53">
        <v>46164</v>
      </c>
      <c r="R25" s="51">
        <v>414</v>
      </c>
      <c r="S25" s="62"/>
      <c r="T25" s="53">
        <v>46164</v>
      </c>
      <c r="U25" s="51"/>
      <c r="V25" s="62"/>
      <c r="W25" s="53">
        <v>46164</v>
      </c>
      <c r="X25" s="51"/>
      <c r="Y25" s="62"/>
      <c r="Z25" s="53">
        <v>46164</v>
      </c>
      <c r="AA25" s="51">
        <v>200</v>
      </c>
      <c r="AB25" s="62"/>
      <c r="AC25" s="53">
        <v>46164</v>
      </c>
      <c r="AD25" s="51"/>
      <c r="AE25" s="62"/>
      <c r="AF25" s="53">
        <v>46164</v>
      </c>
      <c r="AG25" s="51"/>
      <c r="AH25" s="62"/>
      <c r="AI25" s="53">
        <v>46164</v>
      </c>
      <c r="AJ25" s="51">
        <v>200</v>
      </c>
      <c r="AK25" s="62"/>
      <c r="AL25" s="53">
        <v>46164</v>
      </c>
      <c r="AM25" s="51"/>
      <c r="AN25" s="62"/>
      <c r="AO25" s="53">
        <v>46164</v>
      </c>
      <c r="AP25" s="51">
        <v>290</v>
      </c>
      <c r="AQ25" s="62"/>
      <c r="AR25" s="53">
        <v>46164</v>
      </c>
      <c r="AS25" s="51">
        <v>200</v>
      </c>
      <c r="AT25" s="71"/>
      <c r="AU25" s="71"/>
      <c r="AV25" s="71"/>
      <c r="AW25" s="71"/>
      <c r="AX25" s="71"/>
    </row>
    <row r="26" customHeight="1" spans="2:50">
      <c r="B26" s="50">
        <v>46165</v>
      </c>
      <c r="C26" s="52"/>
      <c r="D26" s="62"/>
      <c r="E26" s="50">
        <v>46165</v>
      </c>
      <c r="F26" s="52"/>
      <c r="G26" s="62"/>
      <c r="H26" s="50">
        <v>46165</v>
      </c>
      <c r="I26" s="52"/>
      <c r="J26" s="62"/>
      <c r="K26" s="50">
        <v>46165</v>
      </c>
      <c r="L26" s="52"/>
      <c r="M26" s="62"/>
      <c r="N26" s="50">
        <v>46165</v>
      </c>
      <c r="O26" s="52"/>
      <c r="P26" s="62"/>
      <c r="Q26" s="50">
        <v>46165</v>
      </c>
      <c r="R26" s="52"/>
      <c r="S26" s="62"/>
      <c r="T26" s="50">
        <v>46165</v>
      </c>
      <c r="U26" s="52"/>
      <c r="V26" s="62"/>
      <c r="W26" s="50">
        <v>46165</v>
      </c>
      <c r="X26" s="52"/>
      <c r="Y26" s="62"/>
      <c r="Z26" s="50">
        <v>46165</v>
      </c>
      <c r="AA26" s="52"/>
      <c r="AB26" s="62"/>
      <c r="AC26" s="50">
        <v>46165</v>
      </c>
      <c r="AD26" s="52"/>
      <c r="AE26" s="62"/>
      <c r="AF26" s="50">
        <v>46165</v>
      </c>
      <c r="AG26" s="52"/>
      <c r="AH26" s="62"/>
      <c r="AI26" s="50">
        <v>46165</v>
      </c>
      <c r="AJ26" s="52"/>
      <c r="AK26" s="62"/>
      <c r="AL26" s="50">
        <v>46165</v>
      </c>
      <c r="AM26" s="52"/>
      <c r="AN26" s="62"/>
      <c r="AO26" s="50">
        <v>46165</v>
      </c>
      <c r="AP26" s="52"/>
      <c r="AQ26" s="62"/>
      <c r="AR26" s="50">
        <v>46165</v>
      </c>
      <c r="AS26" s="52"/>
      <c r="AT26" s="71"/>
      <c r="AU26" s="71"/>
      <c r="AV26" s="71"/>
      <c r="AW26" s="71"/>
      <c r="AX26" s="71"/>
    </row>
    <row r="27" customHeight="1" spans="2:50">
      <c r="B27" s="50">
        <v>46166</v>
      </c>
      <c r="C27" s="52">
        <v>500</v>
      </c>
      <c r="D27" s="62"/>
      <c r="E27" s="50">
        <v>46166</v>
      </c>
      <c r="F27" s="52"/>
      <c r="G27" s="62"/>
      <c r="H27" s="50">
        <v>46166</v>
      </c>
      <c r="I27" s="52"/>
      <c r="J27" s="62"/>
      <c r="K27" s="50">
        <v>46166</v>
      </c>
      <c r="L27" s="52"/>
      <c r="M27" s="62"/>
      <c r="N27" s="50">
        <v>46166</v>
      </c>
      <c r="O27" s="52"/>
      <c r="P27" s="62"/>
      <c r="Q27" s="50">
        <v>46166</v>
      </c>
      <c r="R27" s="52"/>
      <c r="S27" s="62"/>
      <c r="T27" s="50">
        <v>46166</v>
      </c>
      <c r="U27" s="52"/>
      <c r="V27" s="62"/>
      <c r="W27" s="50">
        <v>46166</v>
      </c>
      <c r="X27" s="52"/>
      <c r="Y27" s="62"/>
      <c r="Z27" s="50">
        <v>46166</v>
      </c>
      <c r="AA27" s="52"/>
      <c r="AB27" s="62"/>
      <c r="AC27" s="50">
        <v>46166</v>
      </c>
      <c r="AD27" s="52"/>
      <c r="AE27" s="62"/>
      <c r="AF27" s="50">
        <v>46166</v>
      </c>
      <c r="AG27" s="52"/>
      <c r="AH27" s="62"/>
      <c r="AI27" s="50">
        <v>46166</v>
      </c>
      <c r="AJ27" s="52"/>
      <c r="AK27" s="62"/>
      <c r="AL27" s="50">
        <v>46166</v>
      </c>
      <c r="AM27" s="52"/>
      <c r="AN27" s="62"/>
      <c r="AO27" s="50">
        <v>46166</v>
      </c>
      <c r="AP27" s="52"/>
      <c r="AQ27" s="62"/>
      <c r="AR27" s="50">
        <v>46166</v>
      </c>
      <c r="AS27" s="52"/>
      <c r="AT27" s="71"/>
      <c r="AU27" s="71"/>
      <c r="AV27" s="71"/>
      <c r="AW27" s="71"/>
      <c r="AX27" s="71"/>
    </row>
    <row r="28" customHeight="1" spans="2:50">
      <c r="B28" s="53">
        <v>46167</v>
      </c>
      <c r="C28" s="51">
        <v>900</v>
      </c>
      <c r="D28" s="62"/>
      <c r="E28" s="53">
        <v>46167</v>
      </c>
      <c r="F28" s="51">
        <v>850</v>
      </c>
      <c r="G28" s="62"/>
      <c r="H28" s="53">
        <v>46167</v>
      </c>
      <c r="I28" s="51">
        <v>1000</v>
      </c>
      <c r="J28" s="62"/>
      <c r="K28" s="53">
        <v>46167</v>
      </c>
      <c r="L28" s="51">
        <v>400</v>
      </c>
      <c r="M28" s="62"/>
      <c r="N28" s="53">
        <v>46167</v>
      </c>
      <c r="O28" s="51">
        <v>400</v>
      </c>
      <c r="P28" s="62"/>
      <c r="Q28" s="53">
        <v>46167</v>
      </c>
      <c r="R28" s="51">
        <v>500</v>
      </c>
      <c r="S28" s="62"/>
      <c r="T28" s="53">
        <v>46167</v>
      </c>
      <c r="U28" s="51"/>
      <c r="V28" s="62"/>
      <c r="W28" s="53">
        <v>46167</v>
      </c>
      <c r="X28" s="51"/>
      <c r="Y28" s="62"/>
      <c r="Z28" s="53">
        <v>46167</v>
      </c>
      <c r="AA28" s="51"/>
      <c r="AB28" s="62"/>
      <c r="AC28" s="53">
        <v>46167</v>
      </c>
      <c r="AD28" s="51"/>
      <c r="AE28" s="62"/>
      <c r="AF28" s="53">
        <v>46167</v>
      </c>
      <c r="AG28" s="51">
        <v>370</v>
      </c>
      <c r="AH28" s="62"/>
      <c r="AI28" s="53">
        <v>46167</v>
      </c>
      <c r="AJ28" s="51"/>
      <c r="AK28" s="62"/>
      <c r="AL28" s="53">
        <v>46167</v>
      </c>
      <c r="AM28" s="51">
        <v>200</v>
      </c>
      <c r="AN28" s="62"/>
      <c r="AO28" s="53">
        <v>46167</v>
      </c>
      <c r="AP28" s="51">
        <v>1120</v>
      </c>
      <c r="AQ28" s="62"/>
      <c r="AR28" s="53">
        <v>46167</v>
      </c>
      <c r="AS28" s="51"/>
      <c r="AT28" s="71"/>
      <c r="AU28" s="71"/>
      <c r="AV28" s="71"/>
      <c r="AW28" s="71"/>
      <c r="AX28" s="71"/>
    </row>
    <row r="29" customHeight="1" spans="2:50">
      <c r="B29" s="53">
        <v>46168</v>
      </c>
      <c r="C29" s="51">
        <v>900</v>
      </c>
      <c r="D29" s="62"/>
      <c r="E29" s="53">
        <v>46168</v>
      </c>
      <c r="F29" s="51">
        <v>850</v>
      </c>
      <c r="G29" s="62"/>
      <c r="H29" s="53">
        <v>46168</v>
      </c>
      <c r="I29" s="51">
        <v>828</v>
      </c>
      <c r="J29" s="62"/>
      <c r="K29" s="53">
        <v>46168</v>
      </c>
      <c r="L29" s="51">
        <v>200</v>
      </c>
      <c r="M29" s="62"/>
      <c r="N29" s="53">
        <v>46168</v>
      </c>
      <c r="O29" s="51">
        <v>450</v>
      </c>
      <c r="P29" s="62"/>
      <c r="Q29" s="53">
        <v>46168</v>
      </c>
      <c r="R29" s="51">
        <v>300</v>
      </c>
      <c r="S29" s="62"/>
      <c r="T29" s="53">
        <v>46168</v>
      </c>
      <c r="U29" s="51"/>
      <c r="V29" s="62"/>
      <c r="W29" s="53">
        <v>46168</v>
      </c>
      <c r="X29" s="51"/>
      <c r="Y29" s="62"/>
      <c r="Z29" s="53">
        <v>46168</v>
      </c>
      <c r="AA29" s="51">
        <v>200</v>
      </c>
      <c r="AB29" s="62"/>
      <c r="AC29" s="53">
        <v>46168</v>
      </c>
      <c r="AD29" s="51"/>
      <c r="AE29" s="62"/>
      <c r="AF29" s="53">
        <v>46168</v>
      </c>
      <c r="AG29" s="81"/>
      <c r="AH29" s="62"/>
      <c r="AI29" s="53">
        <v>46168</v>
      </c>
      <c r="AJ29" s="51">
        <v>200</v>
      </c>
      <c r="AK29" s="62"/>
      <c r="AL29" s="53">
        <v>46168</v>
      </c>
      <c r="AM29" s="51">
        <v>200</v>
      </c>
      <c r="AN29" s="62"/>
      <c r="AO29" s="53">
        <v>46168</v>
      </c>
      <c r="AP29" s="51">
        <v>260</v>
      </c>
      <c r="AQ29" s="62"/>
      <c r="AR29" s="53">
        <v>46168</v>
      </c>
      <c r="AS29" s="51"/>
      <c r="AT29" s="71"/>
      <c r="AU29" s="71"/>
      <c r="AV29" s="71"/>
      <c r="AW29" s="71"/>
      <c r="AX29" s="71"/>
    </row>
    <row r="30" customHeight="1" spans="2:50">
      <c r="B30" s="53">
        <v>46169</v>
      </c>
      <c r="C30" s="51">
        <v>500</v>
      </c>
      <c r="D30" s="62"/>
      <c r="E30" s="53">
        <v>46169</v>
      </c>
      <c r="F30" s="51">
        <v>200</v>
      </c>
      <c r="G30" s="62"/>
      <c r="H30" s="53">
        <v>46169</v>
      </c>
      <c r="I30" s="51">
        <v>400</v>
      </c>
      <c r="J30" s="62"/>
      <c r="K30" s="53">
        <v>46169</v>
      </c>
      <c r="L30" s="51"/>
      <c r="M30" s="62"/>
      <c r="N30" s="53">
        <v>46169</v>
      </c>
      <c r="O30" s="51">
        <v>250</v>
      </c>
      <c r="P30" s="62"/>
      <c r="Q30" s="53">
        <v>46169</v>
      </c>
      <c r="R30" s="51">
        <v>1300</v>
      </c>
      <c r="S30" s="62"/>
      <c r="T30" s="53">
        <v>46169</v>
      </c>
      <c r="U30" s="51"/>
      <c r="V30" s="62"/>
      <c r="W30" s="53">
        <v>46169</v>
      </c>
      <c r="X30" s="51"/>
      <c r="Y30" s="62"/>
      <c r="Z30" s="53">
        <v>46169</v>
      </c>
      <c r="AA30" s="51">
        <v>200</v>
      </c>
      <c r="AB30" s="62"/>
      <c r="AC30" s="53">
        <v>46169</v>
      </c>
      <c r="AD30" s="51"/>
      <c r="AE30" s="62"/>
      <c r="AF30" s="53">
        <v>46169</v>
      </c>
      <c r="AG30" s="51"/>
      <c r="AH30" s="62"/>
      <c r="AI30" s="53">
        <v>46169</v>
      </c>
      <c r="AJ30" s="51"/>
      <c r="AK30" s="62"/>
      <c r="AL30" s="53">
        <v>46169</v>
      </c>
      <c r="AM30" s="51"/>
      <c r="AN30" s="62"/>
      <c r="AO30" s="53">
        <v>46169</v>
      </c>
      <c r="AP30" s="51">
        <v>290</v>
      </c>
      <c r="AQ30" s="62"/>
      <c r="AR30" s="53">
        <v>46169</v>
      </c>
      <c r="AS30" s="51"/>
      <c r="AT30" s="71"/>
      <c r="AU30" s="71"/>
      <c r="AV30" s="71"/>
      <c r="AW30" s="71"/>
      <c r="AX30" s="71"/>
    </row>
    <row r="31" customHeight="1" spans="2:50">
      <c r="B31" s="53">
        <v>46170</v>
      </c>
      <c r="C31" s="51">
        <v>500</v>
      </c>
      <c r="D31" s="62"/>
      <c r="E31" s="53">
        <v>46170</v>
      </c>
      <c r="F31" s="51"/>
      <c r="G31" s="62"/>
      <c r="H31" s="53">
        <v>46170</v>
      </c>
      <c r="I31" s="70"/>
      <c r="J31" s="62"/>
      <c r="K31" s="53">
        <v>46170</v>
      </c>
      <c r="L31" s="51"/>
      <c r="M31" s="62"/>
      <c r="N31" s="53">
        <v>46170</v>
      </c>
      <c r="O31" s="51">
        <v>200</v>
      </c>
      <c r="P31" s="62"/>
      <c r="Q31" s="53">
        <v>46170</v>
      </c>
      <c r="R31" s="51"/>
      <c r="S31" s="62"/>
      <c r="T31" s="53">
        <v>46170</v>
      </c>
      <c r="U31" s="51"/>
      <c r="V31" s="62"/>
      <c r="W31" s="53">
        <v>46170</v>
      </c>
      <c r="X31" s="51"/>
      <c r="Y31" s="62"/>
      <c r="Z31" s="53">
        <v>46170</v>
      </c>
      <c r="AA31" s="51"/>
      <c r="AB31" s="62"/>
      <c r="AC31" s="53">
        <v>46170</v>
      </c>
      <c r="AD31" s="51"/>
      <c r="AE31" s="62"/>
      <c r="AF31" s="53">
        <v>46170</v>
      </c>
      <c r="AG31" s="51"/>
      <c r="AH31" s="62"/>
      <c r="AI31" s="53">
        <v>46170</v>
      </c>
      <c r="AJ31" s="51"/>
      <c r="AK31" s="62"/>
      <c r="AL31" s="53">
        <v>46170</v>
      </c>
      <c r="AM31" s="51">
        <v>200</v>
      </c>
      <c r="AN31" s="62"/>
      <c r="AO31" s="53">
        <v>46170</v>
      </c>
      <c r="AP31" s="51">
        <v>410</v>
      </c>
      <c r="AQ31" s="62"/>
      <c r="AR31" s="53">
        <v>46170</v>
      </c>
      <c r="AS31" s="51"/>
      <c r="AT31" s="71"/>
      <c r="AU31" s="71"/>
      <c r="AV31" s="71"/>
      <c r="AW31" s="71"/>
      <c r="AX31" s="71"/>
    </row>
    <row r="32" customHeight="1" spans="2:50">
      <c r="B32" s="53">
        <v>46171</v>
      </c>
      <c r="C32" s="51">
        <v>354</v>
      </c>
      <c r="D32" s="62"/>
      <c r="E32" s="53">
        <v>46171</v>
      </c>
      <c r="F32" s="51">
        <v>454</v>
      </c>
      <c r="G32" s="62"/>
      <c r="H32" s="53">
        <v>46171</v>
      </c>
      <c r="I32" s="51">
        <v>200</v>
      </c>
      <c r="J32" s="62"/>
      <c r="K32" s="53">
        <v>46171</v>
      </c>
      <c r="L32" s="51">
        <v>1300</v>
      </c>
      <c r="M32" s="62"/>
      <c r="N32" s="53">
        <v>46171</v>
      </c>
      <c r="O32" s="51">
        <v>496</v>
      </c>
      <c r="P32" s="62"/>
      <c r="Q32" s="53">
        <v>46171</v>
      </c>
      <c r="R32" s="51">
        <v>310</v>
      </c>
      <c r="S32" s="62"/>
      <c r="T32" s="53">
        <v>46171</v>
      </c>
      <c r="U32" s="51"/>
      <c r="V32" s="62"/>
      <c r="W32" s="53">
        <v>46171</v>
      </c>
      <c r="X32" s="51"/>
      <c r="Y32" s="62"/>
      <c r="Z32" s="53">
        <v>46171</v>
      </c>
      <c r="AA32" s="51"/>
      <c r="AB32" s="62"/>
      <c r="AC32" s="53">
        <v>46171</v>
      </c>
      <c r="AD32" s="51"/>
      <c r="AE32" s="62"/>
      <c r="AF32" s="53">
        <v>46171</v>
      </c>
      <c r="AG32" s="51">
        <v>478</v>
      </c>
      <c r="AH32" s="62"/>
      <c r="AI32" s="53">
        <v>46171</v>
      </c>
      <c r="AJ32" s="51"/>
      <c r="AK32" s="62"/>
      <c r="AL32" s="53">
        <v>46171</v>
      </c>
      <c r="AM32" s="51">
        <v>278</v>
      </c>
      <c r="AN32" s="62"/>
      <c r="AO32" s="53">
        <v>46171</v>
      </c>
      <c r="AP32" s="51">
        <v>200</v>
      </c>
      <c r="AQ32" s="62"/>
      <c r="AR32" s="53">
        <v>46171</v>
      </c>
      <c r="AS32" s="51"/>
      <c r="AT32" s="71"/>
      <c r="AU32" s="71"/>
      <c r="AV32" s="71"/>
      <c r="AW32" s="71"/>
      <c r="AX32" s="71"/>
    </row>
    <row r="33" customHeight="1" spans="2:50">
      <c r="B33" s="50">
        <v>46172</v>
      </c>
      <c r="C33" s="52"/>
      <c r="D33" s="62"/>
      <c r="E33" s="50">
        <v>46172</v>
      </c>
      <c r="F33" s="52"/>
      <c r="G33" s="62"/>
      <c r="H33" s="50">
        <v>46172</v>
      </c>
      <c r="I33" s="52"/>
      <c r="J33" s="62"/>
      <c r="K33" s="50">
        <v>46172</v>
      </c>
      <c r="L33" s="51"/>
      <c r="M33" s="62"/>
      <c r="N33" s="50">
        <v>46172</v>
      </c>
      <c r="O33" s="52"/>
      <c r="P33" s="62"/>
      <c r="Q33" s="50">
        <v>46172</v>
      </c>
      <c r="R33" s="52"/>
      <c r="S33" s="62"/>
      <c r="T33" s="50">
        <v>46172</v>
      </c>
      <c r="U33" s="52"/>
      <c r="V33" s="62"/>
      <c r="W33" s="50">
        <v>46172</v>
      </c>
      <c r="X33" s="52"/>
      <c r="Y33" s="62"/>
      <c r="Z33" s="50">
        <v>46172</v>
      </c>
      <c r="AA33" s="52"/>
      <c r="AB33" s="62"/>
      <c r="AC33" s="50">
        <v>46172</v>
      </c>
      <c r="AD33" s="52"/>
      <c r="AE33" s="62"/>
      <c r="AF33" s="50">
        <v>46172</v>
      </c>
      <c r="AG33" s="52"/>
      <c r="AH33" s="62"/>
      <c r="AI33" s="50">
        <v>46172</v>
      </c>
      <c r="AJ33" s="52"/>
      <c r="AK33" s="62"/>
      <c r="AL33" s="50">
        <v>46172</v>
      </c>
      <c r="AM33" s="52"/>
      <c r="AN33" s="62"/>
      <c r="AO33" s="50">
        <v>46172</v>
      </c>
      <c r="AP33" s="52"/>
      <c r="AQ33" s="62"/>
      <c r="AR33" s="50">
        <v>46172</v>
      </c>
      <c r="AS33" s="52"/>
      <c r="AT33" s="71"/>
      <c r="AU33" s="71"/>
      <c r="AV33" s="71"/>
      <c r="AW33" s="71"/>
      <c r="AX33" s="71"/>
    </row>
    <row r="34" customHeight="1" spans="2:50">
      <c r="B34" s="50">
        <v>46173</v>
      </c>
      <c r="C34" s="52"/>
      <c r="D34" s="62"/>
      <c r="E34" s="50">
        <v>46173</v>
      </c>
      <c r="F34" s="52"/>
      <c r="G34" s="62"/>
      <c r="H34" s="50">
        <v>46173</v>
      </c>
      <c r="I34" s="52"/>
      <c r="J34" s="62"/>
      <c r="K34" s="50">
        <v>46173</v>
      </c>
      <c r="L34" s="52"/>
      <c r="M34" s="62"/>
      <c r="N34" s="50">
        <v>46173</v>
      </c>
      <c r="O34" s="52"/>
      <c r="P34" s="62"/>
      <c r="Q34" s="50">
        <v>46173</v>
      </c>
      <c r="R34" s="52"/>
      <c r="S34" s="62"/>
      <c r="T34" s="50">
        <v>46173</v>
      </c>
      <c r="U34" s="52"/>
      <c r="V34" s="62"/>
      <c r="W34" s="50">
        <v>46173</v>
      </c>
      <c r="X34" s="52"/>
      <c r="Y34" s="62"/>
      <c r="Z34" s="50">
        <v>46173</v>
      </c>
      <c r="AA34" s="52"/>
      <c r="AB34" s="62"/>
      <c r="AC34" s="50">
        <v>46173</v>
      </c>
      <c r="AD34" s="52"/>
      <c r="AE34" s="62"/>
      <c r="AF34" s="50">
        <v>46173</v>
      </c>
      <c r="AG34" s="52"/>
      <c r="AH34" s="62"/>
      <c r="AI34" s="50">
        <v>46173</v>
      </c>
      <c r="AJ34" s="52"/>
      <c r="AK34" s="62"/>
      <c r="AL34" s="50">
        <v>46173</v>
      </c>
      <c r="AM34" s="52"/>
      <c r="AN34" s="62"/>
      <c r="AO34" s="50">
        <v>46173</v>
      </c>
      <c r="AP34" s="52"/>
      <c r="AQ34" s="62"/>
      <c r="AR34" s="50">
        <v>46173</v>
      </c>
      <c r="AS34" s="52"/>
      <c r="AT34" s="71"/>
      <c r="AU34" s="71"/>
      <c r="AV34" s="71"/>
      <c r="AW34" s="71"/>
      <c r="AX34" s="71"/>
    </row>
    <row r="35" customHeight="1" spans="2:50">
      <c r="B35" s="53"/>
      <c r="C35" s="71"/>
      <c r="D35" s="62"/>
      <c r="E35" s="53"/>
      <c r="F35" s="71"/>
      <c r="G35" s="62"/>
      <c r="H35" s="53"/>
      <c r="I35" s="71"/>
      <c r="J35" s="62"/>
      <c r="K35" s="53"/>
      <c r="L35" s="71"/>
      <c r="M35" s="62"/>
      <c r="N35" s="53"/>
      <c r="O35" s="71"/>
      <c r="P35" s="62"/>
      <c r="Q35" s="53"/>
      <c r="R35" s="71"/>
      <c r="S35" s="62"/>
      <c r="T35" s="53"/>
      <c r="U35" s="71"/>
      <c r="V35" s="62"/>
      <c r="W35" s="53"/>
      <c r="X35" s="71"/>
      <c r="Y35" s="62"/>
      <c r="Z35" s="53"/>
      <c r="AA35" s="71"/>
      <c r="AB35" s="62"/>
      <c r="AC35" s="53"/>
      <c r="AD35" s="71"/>
      <c r="AE35" s="62"/>
      <c r="AF35" s="53"/>
      <c r="AG35" s="71"/>
      <c r="AH35" s="62"/>
      <c r="AI35" s="53"/>
      <c r="AJ35" s="71"/>
      <c r="AK35" s="62"/>
      <c r="AL35" s="53"/>
      <c r="AM35" s="71"/>
      <c r="AN35" s="62"/>
      <c r="AO35" s="53"/>
      <c r="AP35" s="71"/>
      <c r="AQ35" s="62"/>
      <c r="AR35" s="53"/>
      <c r="AS35" s="71"/>
      <c r="AT35" s="71"/>
      <c r="AU35" s="71"/>
      <c r="AV35" s="71"/>
      <c r="AW35" s="71"/>
      <c r="AX35" s="71"/>
    </row>
    <row r="36" customHeight="1" spans="2:50">
      <c r="B36" s="55" t="s">
        <v>72</v>
      </c>
      <c r="C36" s="56">
        <f>SUM(C4:C35)</f>
        <v>15271</v>
      </c>
      <c r="D36" s="62"/>
      <c r="E36" s="55" t="s">
        <v>72</v>
      </c>
      <c r="F36" s="56">
        <f>SUM(F4:F35)</f>
        <v>11012</v>
      </c>
      <c r="G36" s="62"/>
      <c r="H36" s="55" t="s">
        <v>72</v>
      </c>
      <c r="I36" s="56">
        <f>SUM(I4:I35)</f>
        <v>12773</v>
      </c>
      <c r="J36" s="62"/>
      <c r="K36" s="55" t="s">
        <v>72</v>
      </c>
      <c r="L36" s="56">
        <f>SUM(L4:L35)</f>
        <v>8643</v>
      </c>
      <c r="M36" s="62"/>
      <c r="N36" s="55" t="s">
        <v>72</v>
      </c>
      <c r="O36" s="56">
        <f>SUM(O4:O35)</f>
        <v>9158</v>
      </c>
      <c r="P36" s="62"/>
      <c r="Q36" s="55" t="s">
        <v>72</v>
      </c>
      <c r="R36" s="56">
        <f>SUM(R4:R35)</f>
        <v>8958</v>
      </c>
      <c r="S36" s="62"/>
      <c r="T36" s="55" t="s">
        <v>72</v>
      </c>
      <c r="U36" s="56">
        <f>SUM(U4:U35)</f>
        <v>200</v>
      </c>
      <c r="V36" s="62"/>
      <c r="W36" s="55" t="s">
        <v>72</v>
      </c>
      <c r="X36" s="56">
        <f>SUM(X4:X35)</f>
        <v>0</v>
      </c>
      <c r="Y36" s="62"/>
      <c r="Z36" s="55" t="s">
        <v>72</v>
      </c>
      <c r="AA36" s="56">
        <f>SUM(AA4:AA35)</f>
        <v>2200</v>
      </c>
      <c r="AB36" s="62"/>
      <c r="AC36" s="55" t="s">
        <v>72</v>
      </c>
      <c r="AD36" s="56">
        <f>SUM(AD4:AD35)</f>
        <v>0</v>
      </c>
      <c r="AE36" s="62"/>
      <c r="AF36" s="55" t="s">
        <v>72</v>
      </c>
      <c r="AG36" s="56">
        <f>SUM(AG4:AG35)</f>
        <v>1326</v>
      </c>
      <c r="AH36" s="62"/>
      <c r="AI36" s="55" t="s">
        <v>72</v>
      </c>
      <c r="AJ36" s="56">
        <f>SUM(AJ4:AJ35)</f>
        <v>2756</v>
      </c>
      <c r="AK36" s="62"/>
      <c r="AL36" s="55" t="s">
        <v>72</v>
      </c>
      <c r="AM36" s="56">
        <f>SUM(AM4:AM35)</f>
        <v>4083</v>
      </c>
      <c r="AN36" s="62"/>
      <c r="AO36" s="55" t="s">
        <v>72</v>
      </c>
      <c r="AP36" s="56">
        <f>SUM(AP4:AP35)</f>
        <v>8107</v>
      </c>
      <c r="AQ36" s="62"/>
      <c r="AR36" s="55" t="s">
        <v>72</v>
      </c>
      <c r="AS36" s="56">
        <f>SUM(AS4:AS35)</f>
        <v>1400</v>
      </c>
      <c r="AT36" s="55"/>
      <c r="AU36" s="56"/>
      <c r="AV36" s="55"/>
      <c r="AW36" s="56"/>
      <c r="AX36" s="56"/>
    </row>
    <row r="37" customHeight="1" spans="2:50">
      <c r="B37" s="57" t="s">
        <v>73</v>
      </c>
      <c r="C37" s="58"/>
      <c r="D37" s="62"/>
      <c r="E37" s="57" t="s">
        <v>73</v>
      </c>
      <c r="F37" s="58"/>
      <c r="G37" s="62"/>
      <c r="H37" s="57" t="s">
        <v>73</v>
      </c>
      <c r="I37" s="58"/>
      <c r="J37" s="62"/>
      <c r="K37" s="57" t="s">
        <v>73</v>
      </c>
      <c r="L37" s="58">
        <v>1557</v>
      </c>
      <c r="M37" s="62"/>
      <c r="N37" s="57" t="s">
        <v>73</v>
      </c>
      <c r="O37" s="58"/>
      <c r="P37" s="62"/>
      <c r="Q37" s="57" t="s">
        <v>73</v>
      </c>
      <c r="R37" s="58"/>
      <c r="S37" s="62"/>
      <c r="T37" s="57" t="s">
        <v>73</v>
      </c>
      <c r="U37" s="58"/>
      <c r="V37" s="62"/>
      <c r="W37" s="57" t="s">
        <v>73</v>
      </c>
      <c r="X37" s="58"/>
      <c r="Y37" s="62"/>
      <c r="Z37" s="57" t="s">
        <v>73</v>
      </c>
      <c r="AA37" s="58"/>
      <c r="AB37" s="62"/>
      <c r="AC37" s="57" t="s">
        <v>73</v>
      </c>
      <c r="AD37" s="58"/>
      <c r="AE37" s="62"/>
      <c r="AF37" s="57" t="s">
        <v>73</v>
      </c>
      <c r="AG37" s="58"/>
      <c r="AH37" s="62"/>
      <c r="AI37" s="57" t="s">
        <v>73</v>
      </c>
      <c r="AJ37" s="58"/>
      <c r="AK37" s="62"/>
      <c r="AL37" s="57" t="s">
        <v>73</v>
      </c>
      <c r="AM37" s="58"/>
      <c r="AN37" s="62"/>
      <c r="AO37" s="57" t="s">
        <v>73</v>
      </c>
      <c r="AP37" s="58"/>
      <c r="AQ37" s="62"/>
      <c r="AR37" s="57" t="s">
        <v>73</v>
      </c>
      <c r="AS37" s="58"/>
      <c r="AT37" s="57"/>
      <c r="AU37" s="58"/>
      <c r="AV37" s="57"/>
      <c r="AW37" s="58"/>
      <c r="AX37" s="58"/>
    </row>
    <row r="38" customHeight="1" spans="2:50">
      <c r="B38" s="59"/>
      <c r="C38" s="60"/>
      <c r="D38" s="62"/>
      <c r="E38" s="59"/>
      <c r="F38" s="60"/>
      <c r="G38" s="62"/>
      <c r="H38" s="59"/>
      <c r="I38" s="60"/>
      <c r="J38" s="62"/>
      <c r="K38" s="59"/>
      <c r="L38" s="60"/>
      <c r="M38" s="62"/>
      <c r="N38" s="59"/>
      <c r="O38" s="60"/>
      <c r="P38" s="62"/>
      <c r="Q38" s="59"/>
      <c r="R38" s="60"/>
      <c r="S38" s="62"/>
      <c r="T38" s="59"/>
      <c r="U38" s="60"/>
      <c r="V38" s="62"/>
      <c r="W38" s="59"/>
      <c r="X38" s="60"/>
      <c r="Y38" s="62"/>
      <c r="Z38" s="59"/>
      <c r="AA38" s="60"/>
      <c r="AB38" s="62"/>
      <c r="AC38" s="59"/>
      <c r="AD38" s="60"/>
      <c r="AE38" s="62"/>
      <c r="AF38" s="59"/>
      <c r="AG38" s="60"/>
      <c r="AH38" s="62"/>
      <c r="AI38" s="59"/>
      <c r="AJ38" s="60"/>
      <c r="AK38" s="62"/>
      <c r="AL38" s="59"/>
      <c r="AM38" s="60"/>
      <c r="AN38" s="62"/>
      <c r="AO38" s="59"/>
      <c r="AP38" s="60"/>
      <c r="AQ38" s="62"/>
      <c r="AR38" s="59"/>
      <c r="AS38" s="60"/>
      <c r="AT38" s="59"/>
      <c r="AU38" s="60"/>
      <c r="AV38" s="59"/>
      <c r="AW38" s="60"/>
      <c r="AX38" s="60"/>
    </row>
    <row r="39" customHeight="1" spans="2:50">
      <c r="B39" s="61" t="s">
        <v>74</v>
      </c>
      <c r="C39" s="58">
        <f>C36+C37+C38</f>
        <v>15271</v>
      </c>
      <c r="D39" s="62"/>
      <c r="E39" s="61" t="s">
        <v>74</v>
      </c>
      <c r="F39" s="58">
        <f>F36+F37+F38</f>
        <v>11012</v>
      </c>
      <c r="G39" s="62"/>
      <c r="H39" s="61" t="s">
        <v>74</v>
      </c>
      <c r="I39" s="58">
        <f>I36+I37+I38</f>
        <v>12773</v>
      </c>
      <c r="J39" s="62"/>
      <c r="K39" s="61" t="s">
        <v>74</v>
      </c>
      <c r="L39" s="58">
        <f>L36+L37+L38</f>
        <v>10200</v>
      </c>
      <c r="M39" s="62"/>
      <c r="N39" s="61" t="s">
        <v>74</v>
      </c>
      <c r="O39" s="58">
        <f>O36+O37+O38</f>
        <v>9158</v>
      </c>
      <c r="P39" s="62"/>
      <c r="Q39" s="61" t="s">
        <v>74</v>
      </c>
      <c r="R39" s="58">
        <f>R36+R37+R38</f>
        <v>8958</v>
      </c>
      <c r="S39" s="62"/>
      <c r="T39" s="61" t="s">
        <v>74</v>
      </c>
      <c r="U39" s="58">
        <f>U36+U37+U38</f>
        <v>200</v>
      </c>
      <c r="V39" s="62"/>
      <c r="W39" s="61" t="s">
        <v>74</v>
      </c>
      <c r="X39" s="58">
        <f>X36+X37+X38</f>
        <v>0</v>
      </c>
      <c r="Y39" s="62"/>
      <c r="Z39" s="61" t="s">
        <v>74</v>
      </c>
      <c r="AA39" s="58">
        <f>AA36+AA37+AA38</f>
        <v>2200</v>
      </c>
      <c r="AB39" s="62"/>
      <c r="AC39" s="61" t="s">
        <v>74</v>
      </c>
      <c r="AD39" s="58">
        <f>AD36+AD37+AD38</f>
        <v>0</v>
      </c>
      <c r="AE39" s="62"/>
      <c r="AF39" s="61" t="s">
        <v>74</v>
      </c>
      <c r="AG39" s="58">
        <f>AG36+AG37+AG38</f>
        <v>1326</v>
      </c>
      <c r="AH39" s="62"/>
      <c r="AI39" s="61" t="s">
        <v>74</v>
      </c>
      <c r="AJ39" s="58">
        <f>AJ36+AJ37+AJ38</f>
        <v>2756</v>
      </c>
      <c r="AK39" s="62"/>
      <c r="AL39" s="61" t="s">
        <v>74</v>
      </c>
      <c r="AM39" s="58">
        <f>AM36+AM37+AM38</f>
        <v>4083</v>
      </c>
      <c r="AN39" s="62"/>
      <c r="AO39" s="61" t="s">
        <v>74</v>
      </c>
      <c r="AP39" s="58">
        <f>AP36+AP37+AP38</f>
        <v>8107</v>
      </c>
      <c r="AQ39" s="62"/>
      <c r="AR39" s="61" t="s">
        <v>74</v>
      </c>
      <c r="AS39" s="58">
        <f>AS36+AS37+AS38</f>
        <v>1400</v>
      </c>
      <c r="AT39" s="61"/>
      <c r="AU39" s="58"/>
      <c r="AV39" s="61"/>
      <c r="AW39" s="58"/>
      <c r="AX39" s="58"/>
    </row>
    <row r="40" ht="22.5" customHeight="1" spans="2:46">
      <c r="B40" s="72"/>
      <c r="C40" s="73"/>
      <c r="E40" s="67"/>
      <c r="F40" s="67"/>
      <c r="H40" s="67"/>
      <c r="I40" s="78"/>
      <c r="J40" s="78"/>
      <c r="K40" s="67"/>
      <c r="L40" s="67"/>
      <c r="M40" s="78"/>
      <c r="N40" s="79"/>
      <c r="O40" s="79"/>
      <c r="P40" s="78"/>
      <c r="Q40" s="67"/>
      <c r="R40" s="67"/>
      <c r="S40" s="78"/>
      <c r="T40" s="67"/>
      <c r="U40" s="78"/>
      <c r="V40" s="78"/>
      <c r="W40" s="67"/>
      <c r="X40" s="67"/>
      <c r="Y40" s="78"/>
      <c r="Z40" s="67"/>
      <c r="AA40" s="67"/>
      <c r="AB40" s="78"/>
      <c r="AC40" s="67"/>
      <c r="AD40" s="78"/>
      <c r="AE40" s="78"/>
      <c r="AF40" s="67"/>
      <c r="AG40" s="67"/>
      <c r="AH40" s="78"/>
      <c r="AI40" s="67"/>
      <c r="AJ40" s="67"/>
      <c r="AK40" s="78"/>
      <c r="AL40" s="67"/>
      <c r="AM40" s="78"/>
      <c r="AN40" s="78"/>
      <c r="AO40" s="67"/>
      <c r="AP40" s="78"/>
      <c r="AQ40" s="78"/>
      <c r="AT40" s="78"/>
    </row>
    <row r="41" customHeight="1" spans="2:46">
      <c r="B41" s="72"/>
      <c r="C41" s="73"/>
      <c r="E41" s="67"/>
      <c r="F41" s="67"/>
      <c r="H41" s="67"/>
      <c r="I41" s="78"/>
      <c r="J41" s="78"/>
      <c r="K41" s="67"/>
      <c r="L41" s="67"/>
      <c r="M41" s="78"/>
      <c r="N41" s="79"/>
      <c r="O41" s="79"/>
      <c r="P41" s="78"/>
      <c r="Q41" s="67"/>
      <c r="R41" s="67"/>
      <c r="S41" s="78"/>
      <c r="T41" s="67"/>
      <c r="U41" s="78"/>
      <c r="V41" s="78"/>
      <c r="W41" s="67"/>
      <c r="X41" s="67"/>
      <c r="Y41" s="78"/>
      <c r="Z41" s="67"/>
      <c r="AA41" s="67"/>
      <c r="AB41" s="78"/>
      <c r="AC41" s="67"/>
      <c r="AD41" s="78"/>
      <c r="AE41" s="78"/>
      <c r="AF41" s="67"/>
      <c r="AG41" s="67"/>
      <c r="AH41" s="78"/>
      <c r="AI41" s="67"/>
      <c r="AJ41" s="67"/>
      <c r="AK41" s="78"/>
      <c r="AL41" s="67"/>
      <c r="AM41" s="78"/>
      <c r="AN41" s="78"/>
      <c r="AO41" s="67"/>
      <c r="AP41" s="78"/>
      <c r="AQ41" s="78"/>
      <c r="AT41" s="78"/>
    </row>
    <row r="42" customHeight="1" spans="2:46">
      <c r="B42" s="72"/>
      <c r="C42" s="73"/>
      <c r="E42" s="67"/>
      <c r="F42" s="67"/>
      <c r="H42" s="67"/>
      <c r="I42" s="78"/>
      <c r="J42" s="78"/>
      <c r="K42" s="67"/>
      <c r="L42" s="67"/>
      <c r="M42" s="78"/>
      <c r="N42" s="79"/>
      <c r="O42" s="79"/>
      <c r="P42" s="78"/>
      <c r="Q42" s="67"/>
      <c r="R42" s="67"/>
      <c r="S42" s="78"/>
      <c r="T42" s="67"/>
      <c r="U42" s="78"/>
      <c r="V42" s="78"/>
      <c r="W42" s="67"/>
      <c r="X42" s="67"/>
      <c r="Y42" s="78"/>
      <c r="Z42" s="67"/>
      <c r="AA42" s="67"/>
      <c r="AB42" s="78"/>
      <c r="AC42" s="67"/>
      <c r="AD42" s="78"/>
      <c r="AE42" s="78"/>
      <c r="AF42" s="67"/>
      <c r="AG42" s="67"/>
      <c r="AH42" s="78"/>
      <c r="AI42" s="67"/>
      <c r="AJ42" s="67"/>
      <c r="AK42" s="78"/>
      <c r="AL42" s="67"/>
      <c r="AM42" s="78"/>
      <c r="AN42" s="78"/>
      <c r="AO42" s="67"/>
      <c r="AP42" s="78"/>
      <c r="AQ42" s="78"/>
      <c r="AT42" s="78"/>
    </row>
    <row r="43" customHeight="1" spans="2:46">
      <c r="B43" s="72"/>
      <c r="C43" s="73"/>
      <c r="E43" s="67"/>
      <c r="F43" s="67"/>
      <c r="H43" s="67"/>
      <c r="I43" s="78"/>
      <c r="J43" s="78"/>
      <c r="K43" s="67"/>
      <c r="L43" s="67"/>
      <c r="M43" s="78"/>
      <c r="N43" s="79"/>
      <c r="O43" s="79"/>
      <c r="P43" s="78"/>
      <c r="Q43" s="67"/>
      <c r="R43" s="67"/>
      <c r="S43" s="78"/>
      <c r="T43" s="67"/>
      <c r="U43" s="78"/>
      <c r="V43" s="78"/>
      <c r="W43" s="67"/>
      <c r="X43" s="67"/>
      <c r="Y43" s="78"/>
      <c r="Z43" s="67"/>
      <c r="AA43" s="67"/>
      <c r="AB43" s="78"/>
      <c r="AC43" s="67"/>
      <c r="AD43" s="78"/>
      <c r="AE43" s="78"/>
      <c r="AF43" s="67"/>
      <c r="AG43" s="67"/>
      <c r="AH43" s="78"/>
      <c r="AI43" s="67"/>
      <c r="AJ43" s="67"/>
      <c r="AK43" s="78"/>
      <c r="AL43" s="67"/>
      <c r="AM43" s="78"/>
      <c r="AN43" s="78"/>
      <c r="AO43" s="67"/>
      <c r="AP43" s="78"/>
      <c r="AQ43" s="78"/>
      <c r="AT43" s="78"/>
    </row>
    <row r="44" s="62" customFormat="1" customHeight="1" spans="2:43">
      <c r="B44" s="67"/>
      <c r="C44" s="74"/>
      <c r="E44" s="74"/>
      <c r="F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H44" s="74"/>
      <c r="AK44" s="74"/>
      <c r="AN44" s="74"/>
      <c r="AQ44" s="74"/>
    </row>
    <row r="45" customHeight="1" spans="2:51">
      <c r="B45" s="49" t="s">
        <v>39</v>
      </c>
      <c r="C45" s="49"/>
      <c r="D45" s="62"/>
      <c r="E45" s="49" t="s">
        <v>40</v>
      </c>
      <c r="F45" s="49"/>
      <c r="G45" s="62"/>
      <c r="H45" s="49" t="s">
        <v>41</v>
      </c>
      <c r="I45" s="49"/>
      <c r="J45" s="62"/>
      <c r="K45" s="49" t="s">
        <v>42</v>
      </c>
      <c r="L45" s="49"/>
      <c r="M45" s="62"/>
      <c r="N45" s="49" t="s">
        <v>43</v>
      </c>
      <c r="O45" s="49"/>
      <c r="P45" s="62"/>
      <c r="Q45" s="68" t="s">
        <v>44</v>
      </c>
      <c r="R45" s="80"/>
      <c r="S45" s="62"/>
      <c r="T45" s="68" t="s">
        <v>45</v>
      </c>
      <c r="U45" s="80"/>
      <c r="V45" s="62"/>
      <c r="W45" s="68" t="s">
        <v>46</v>
      </c>
      <c r="X45" s="80"/>
      <c r="Y45" s="62"/>
      <c r="Z45" s="68" t="s">
        <v>47</v>
      </c>
      <c r="AA45" s="80"/>
      <c r="AB45" s="62"/>
      <c r="AC45" s="68" t="s">
        <v>48</v>
      </c>
      <c r="AD45" s="80"/>
      <c r="AE45" s="62"/>
      <c r="AF45" s="68" t="s">
        <v>49</v>
      </c>
      <c r="AG45" s="80"/>
      <c r="AH45" s="62"/>
      <c r="AI45" s="68" t="s">
        <v>50</v>
      </c>
      <c r="AJ45" s="80"/>
      <c r="AK45" s="62"/>
      <c r="AL45" s="68" t="s">
        <v>51</v>
      </c>
      <c r="AM45" s="80"/>
      <c r="AN45" s="62"/>
      <c r="AO45" s="68" t="s">
        <v>52</v>
      </c>
      <c r="AP45" s="80"/>
      <c r="AQ45" s="62"/>
      <c r="AR45" s="68"/>
      <c r="AS45" s="80"/>
      <c r="AT45" s="62"/>
      <c r="AU45" s="62"/>
      <c r="AV45" s="62"/>
      <c r="AW45" s="62"/>
      <c r="AX45" s="62"/>
      <c r="AY45" s="62"/>
    </row>
    <row r="46" customHeight="1" spans="2:51">
      <c r="B46" s="49" t="s">
        <v>70</v>
      </c>
      <c r="C46" s="49" t="s">
        <v>71</v>
      </c>
      <c r="D46" s="62"/>
      <c r="E46" s="49" t="s">
        <v>70</v>
      </c>
      <c r="F46" s="49" t="s">
        <v>71</v>
      </c>
      <c r="G46" s="62"/>
      <c r="H46" s="49" t="s">
        <v>70</v>
      </c>
      <c r="I46" s="49" t="s">
        <v>71</v>
      </c>
      <c r="J46" s="62"/>
      <c r="K46" s="49" t="s">
        <v>70</v>
      </c>
      <c r="L46" s="49" t="s">
        <v>71</v>
      </c>
      <c r="M46" s="62"/>
      <c r="N46" s="49" t="s">
        <v>70</v>
      </c>
      <c r="O46" s="49" t="s">
        <v>71</v>
      </c>
      <c r="P46" s="62"/>
      <c r="Q46" s="49" t="s">
        <v>70</v>
      </c>
      <c r="R46" s="49" t="s">
        <v>71</v>
      </c>
      <c r="S46" s="62"/>
      <c r="T46" s="49" t="s">
        <v>70</v>
      </c>
      <c r="U46" s="49" t="s">
        <v>71</v>
      </c>
      <c r="V46" s="62"/>
      <c r="W46" s="49" t="s">
        <v>70</v>
      </c>
      <c r="X46" s="49" t="s">
        <v>70</v>
      </c>
      <c r="Y46" s="62"/>
      <c r="Z46" s="49" t="s">
        <v>70</v>
      </c>
      <c r="AA46" s="49" t="s">
        <v>71</v>
      </c>
      <c r="AB46" s="62"/>
      <c r="AC46" s="49" t="s">
        <v>70</v>
      </c>
      <c r="AD46" s="49" t="s">
        <v>71</v>
      </c>
      <c r="AE46" s="62"/>
      <c r="AF46" s="49" t="s">
        <v>70</v>
      </c>
      <c r="AG46" s="49" t="s">
        <v>71</v>
      </c>
      <c r="AH46" s="62"/>
      <c r="AI46" s="49" t="s">
        <v>70</v>
      </c>
      <c r="AJ46" s="49" t="s">
        <v>71</v>
      </c>
      <c r="AK46" s="62"/>
      <c r="AL46" s="49" t="s">
        <v>70</v>
      </c>
      <c r="AM46" s="49" t="s">
        <v>71</v>
      </c>
      <c r="AN46" s="62"/>
      <c r="AO46" s="49" t="s">
        <v>70</v>
      </c>
      <c r="AP46" s="49" t="s">
        <v>71</v>
      </c>
      <c r="AQ46" s="62"/>
      <c r="AR46" s="49"/>
      <c r="AS46" s="49"/>
      <c r="AT46" s="62"/>
      <c r="AU46" s="62"/>
      <c r="AV46" s="62"/>
      <c r="AW46" s="62"/>
      <c r="AX46" s="62"/>
      <c r="AY46" s="62"/>
    </row>
    <row r="47" customHeight="1" spans="2:51">
      <c r="B47" s="50">
        <v>46143</v>
      </c>
      <c r="C47" s="51">
        <v>1599</v>
      </c>
      <c r="D47" s="62"/>
      <c r="E47" s="50">
        <v>46143</v>
      </c>
      <c r="F47" s="52"/>
      <c r="G47" s="62"/>
      <c r="H47" s="50">
        <v>46143</v>
      </c>
      <c r="I47" s="51">
        <v>1389</v>
      </c>
      <c r="J47" s="62"/>
      <c r="K47" s="50">
        <v>46143</v>
      </c>
      <c r="L47" s="51">
        <v>1599</v>
      </c>
      <c r="M47" s="62"/>
      <c r="N47" s="50">
        <v>46143</v>
      </c>
      <c r="O47" s="52"/>
      <c r="P47" s="62"/>
      <c r="Q47" s="50">
        <v>46143</v>
      </c>
      <c r="R47" s="52"/>
      <c r="S47" s="62"/>
      <c r="T47" s="50">
        <v>46143</v>
      </c>
      <c r="U47" s="52"/>
      <c r="V47" s="62"/>
      <c r="W47" s="50">
        <v>46143</v>
      </c>
      <c r="X47" s="52"/>
      <c r="Y47" s="62"/>
      <c r="Z47" s="50">
        <v>46143</v>
      </c>
      <c r="AA47" s="52"/>
      <c r="AB47" s="62"/>
      <c r="AC47" s="50">
        <v>46143</v>
      </c>
      <c r="AD47" s="52"/>
      <c r="AE47" s="62"/>
      <c r="AF47" s="50">
        <v>46143</v>
      </c>
      <c r="AG47" s="52"/>
      <c r="AH47" s="62"/>
      <c r="AI47" s="50">
        <v>46143</v>
      </c>
      <c r="AJ47" s="52"/>
      <c r="AK47" s="62"/>
      <c r="AL47" s="50">
        <v>46143</v>
      </c>
      <c r="AM47" s="52"/>
      <c r="AN47" s="62"/>
      <c r="AO47" s="50">
        <v>46143</v>
      </c>
      <c r="AP47" s="52"/>
      <c r="AQ47" s="62"/>
      <c r="AR47" s="50"/>
      <c r="AS47" s="51"/>
      <c r="AT47" s="62"/>
      <c r="AU47" s="62"/>
      <c r="AV47" s="62"/>
      <c r="AW47" s="62"/>
      <c r="AX47" s="62"/>
      <c r="AY47" s="62"/>
    </row>
    <row r="48" customHeight="1" spans="2:51">
      <c r="B48" s="50">
        <v>46144</v>
      </c>
      <c r="C48" s="52"/>
      <c r="D48" s="62"/>
      <c r="E48" s="50">
        <v>46144</v>
      </c>
      <c r="F48" s="52"/>
      <c r="G48" s="62"/>
      <c r="H48" s="50">
        <v>46144</v>
      </c>
      <c r="I48" s="52"/>
      <c r="J48" s="62"/>
      <c r="K48" s="50">
        <v>46144</v>
      </c>
      <c r="L48" s="52"/>
      <c r="M48" s="62"/>
      <c r="N48" s="50">
        <v>46144</v>
      </c>
      <c r="O48" s="52"/>
      <c r="P48" s="62"/>
      <c r="Q48" s="50">
        <v>46144</v>
      </c>
      <c r="R48" s="52"/>
      <c r="S48" s="62"/>
      <c r="T48" s="50">
        <v>46144</v>
      </c>
      <c r="U48" s="52"/>
      <c r="V48" s="62"/>
      <c r="W48" s="50">
        <v>46144</v>
      </c>
      <c r="X48" s="52"/>
      <c r="Y48" s="62"/>
      <c r="Z48" s="50">
        <v>46144</v>
      </c>
      <c r="AA48" s="52"/>
      <c r="AB48" s="62"/>
      <c r="AC48" s="50">
        <v>46144</v>
      </c>
      <c r="AD48" s="52"/>
      <c r="AE48" s="62"/>
      <c r="AF48" s="50">
        <v>46144</v>
      </c>
      <c r="AG48" s="52"/>
      <c r="AH48" s="62"/>
      <c r="AI48" s="50">
        <v>46144</v>
      </c>
      <c r="AJ48" s="52"/>
      <c r="AK48" s="62"/>
      <c r="AL48" s="50">
        <v>46144</v>
      </c>
      <c r="AM48" s="52"/>
      <c r="AN48" s="62"/>
      <c r="AO48" s="50">
        <v>46144</v>
      </c>
      <c r="AP48" s="52"/>
      <c r="AQ48" s="62"/>
      <c r="AR48" s="50"/>
      <c r="AS48" s="51"/>
      <c r="AT48" s="62"/>
      <c r="AU48" s="62"/>
      <c r="AV48" s="62"/>
      <c r="AW48" s="62"/>
      <c r="AX48" s="62"/>
      <c r="AY48" s="62"/>
    </row>
    <row r="49" customHeight="1" spans="2:51">
      <c r="B49" s="50">
        <v>46145</v>
      </c>
      <c r="C49" s="52"/>
      <c r="D49" s="62"/>
      <c r="E49" s="50">
        <v>46145</v>
      </c>
      <c r="F49" s="52"/>
      <c r="G49" s="62"/>
      <c r="H49" s="50">
        <v>46145</v>
      </c>
      <c r="I49" s="52"/>
      <c r="J49" s="62"/>
      <c r="K49" s="50">
        <v>46145</v>
      </c>
      <c r="L49" s="52"/>
      <c r="M49" s="62"/>
      <c r="N49" s="50">
        <v>46145</v>
      </c>
      <c r="O49" s="54">
        <v>328</v>
      </c>
      <c r="P49" s="62"/>
      <c r="Q49" s="50">
        <v>46145</v>
      </c>
      <c r="R49" s="52"/>
      <c r="S49" s="62"/>
      <c r="T49" s="50">
        <v>46145</v>
      </c>
      <c r="U49" s="52"/>
      <c r="V49" s="62"/>
      <c r="W49" s="50">
        <v>46145</v>
      </c>
      <c r="X49" s="52"/>
      <c r="Y49" s="62"/>
      <c r="Z49" s="50">
        <v>46145</v>
      </c>
      <c r="AA49" s="52"/>
      <c r="AB49" s="62"/>
      <c r="AC49" s="50">
        <v>46145</v>
      </c>
      <c r="AD49" s="52"/>
      <c r="AE49" s="62"/>
      <c r="AF49" s="50">
        <v>46145</v>
      </c>
      <c r="AG49" s="52"/>
      <c r="AH49" s="62"/>
      <c r="AI49" s="50">
        <v>46145</v>
      </c>
      <c r="AJ49" s="52"/>
      <c r="AK49" s="62"/>
      <c r="AL49" s="50">
        <v>46145</v>
      </c>
      <c r="AM49" s="52"/>
      <c r="AN49" s="62"/>
      <c r="AO49" s="50">
        <v>46145</v>
      </c>
      <c r="AP49" s="52"/>
      <c r="AQ49" s="62"/>
      <c r="AR49" s="50"/>
      <c r="AS49" s="51"/>
      <c r="AT49" s="62"/>
      <c r="AU49" s="62"/>
      <c r="AV49" s="62"/>
      <c r="AW49" s="62"/>
      <c r="AX49" s="62"/>
      <c r="AY49" s="62"/>
    </row>
    <row r="50" customHeight="1" spans="2:51">
      <c r="B50" s="53">
        <v>46146</v>
      </c>
      <c r="C50" s="51"/>
      <c r="D50" s="62"/>
      <c r="E50" s="53">
        <v>46146</v>
      </c>
      <c r="F50" s="51"/>
      <c r="G50" s="62"/>
      <c r="H50" s="53">
        <v>46146</v>
      </c>
      <c r="I50" s="51"/>
      <c r="J50" s="62"/>
      <c r="K50" s="53">
        <v>46146</v>
      </c>
      <c r="L50" s="51"/>
      <c r="M50" s="62"/>
      <c r="N50" s="53">
        <v>46146</v>
      </c>
      <c r="O50" s="51"/>
      <c r="P50" s="62"/>
      <c r="Q50" s="53">
        <v>46146</v>
      </c>
      <c r="R50" s="51"/>
      <c r="S50" s="62"/>
      <c r="T50" s="53">
        <v>46146</v>
      </c>
      <c r="U50" s="51"/>
      <c r="V50" s="62"/>
      <c r="W50" s="53">
        <v>46146</v>
      </c>
      <c r="X50" s="70"/>
      <c r="Y50" s="62"/>
      <c r="Z50" s="53">
        <v>46146</v>
      </c>
      <c r="AA50" s="51"/>
      <c r="AB50" s="62"/>
      <c r="AC50" s="53">
        <v>46146</v>
      </c>
      <c r="AD50" s="51"/>
      <c r="AE50" s="62"/>
      <c r="AF50" s="53">
        <v>46146</v>
      </c>
      <c r="AG50" s="51"/>
      <c r="AH50" s="62"/>
      <c r="AI50" s="53">
        <v>46146</v>
      </c>
      <c r="AJ50" s="51"/>
      <c r="AK50" s="62"/>
      <c r="AL50" s="53">
        <v>46146</v>
      </c>
      <c r="AM50" s="81"/>
      <c r="AN50" s="62"/>
      <c r="AO50" s="53">
        <v>46146</v>
      </c>
      <c r="AP50" s="51"/>
      <c r="AQ50" s="62"/>
      <c r="AR50" s="53"/>
      <c r="AS50" s="51"/>
      <c r="AT50" s="62"/>
      <c r="AU50" s="62"/>
      <c r="AV50" s="62"/>
      <c r="AW50" s="62"/>
      <c r="AX50" s="62"/>
      <c r="AY50" s="62"/>
    </row>
    <row r="51" customHeight="1" spans="2:51">
      <c r="B51" s="53">
        <v>46147</v>
      </c>
      <c r="C51" s="51"/>
      <c r="D51" s="62"/>
      <c r="E51" s="53">
        <v>46147</v>
      </c>
      <c r="F51" s="70"/>
      <c r="G51" s="62"/>
      <c r="H51" s="53">
        <v>46147</v>
      </c>
      <c r="I51" s="51"/>
      <c r="J51" s="62"/>
      <c r="K51" s="53">
        <v>46147</v>
      </c>
      <c r="L51" s="51">
        <v>337</v>
      </c>
      <c r="M51" s="62"/>
      <c r="N51" s="53">
        <v>46147</v>
      </c>
      <c r="O51" s="51"/>
      <c r="P51" s="62"/>
      <c r="Q51" s="53">
        <v>46147</v>
      </c>
      <c r="R51" s="51"/>
      <c r="S51" s="62"/>
      <c r="T51" s="53">
        <v>46147</v>
      </c>
      <c r="U51" s="51"/>
      <c r="V51" s="62"/>
      <c r="W51" s="53">
        <v>46147</v>
      </c>
      <c r="X51" s="51"/>
      <c r="Y51" s="62"/>
      <c r="Z51" s="53">
        <v>46147</v>
      </c>
      <c r="AA51" s="51"/>
      <c r="AB51" s="62"/>
      <c r="AC51" s="53">
        <v>46147</v>
      </c>
      <c r="AD51" s="51"/>
      <c r="AE51" s="62"/>
      <c r="AF51" s="53">
        <v>46147</v>
      </c>
      <c r="AG51" s="51"/>
      <c r="AH51" s="62"/>
      <c r="AI51" s="53">
        <v>46147</v>
      </c>
      <c r="AJ51" s="51"/>
      <c r="AK51" s="62"/>
      <c r="AL51" s="53">
        <v>46147</v>
      </c>
      <c r="AM51" s="81"/>
      <c r="AN51" s="62"/>
      <c r="AO51" s="53">
        <v>46147</v>
      </c>
      <c r="AP51" s="51"/>
      <c r="AQ51" s="62"/>
      <c r="AR51" s="53"/>
      <c r="AS51" s="51"/>
      <c r="AT51" s="62"/>
      <c r="AU51" s="62"/>
      <c r="AV51" s="62"/>
      <c r="AW51" s="62"/>
      <c r="AX51" s="62"/>
      <c r="AY51" s="62"/>
    </row>
    <row r="52" customHeight="1" spans="2:51">
      <c r="B52" s="53">
        <v>46148</v>
      </c>
      <c r="C52" s="51"/>
      <c r="D52" s="62"/>
      <c r="E52" s="53">
        <v>46148</v>
      </c>
      <c r="F52" s="51"/>
      <c r="G52" s="62"/>
      <c r="H52" s="53">
        <v>46148</v>
      </c>
      <c r="I52" s="51"/>
      <c r="J52" s="62"/>
      <c r="K52" s="53">
        <v>46148</v>
      </c>
      <c r="L52" s="51"/>
      <c r="M52" s="62"/>
      <c r="N52" s="53">
        <v>46148</v>
      </c>
      <c r="O52" s="70"/>
      <c r="P52" s="62"/>
      <c r="Q52" s="53">
        <v>46148</v>
      </c>
      <c r="R52" s="51"/>
      <c r="S52" s="62"/>
      <c r="T52" s="53">
        <v>46148</v>
      </c>
      <c r="U52" s="51"/>
      <c r="V52" s="62"/>
      <c r="W52" s="53">
        <v>46148</v>
      </c>
      <c r="X52" s="51"/>
      <c r="Y52" s="62"/>
      <c r="Z52" s="53">
        <v>46148</v>
      </c>
      <c r="AA52" s="51"/>
      <c r="AB52" s="62"/>
      <c r="AC52" s="53">
        <v>46148</v>
      </c>
      <c r="AD52" s="51"/>
      <c r="AE52" s="62"/>
      <c r="AF52" s="53">
        <v>46148</v>
      </c>
      <c r="AG52" s="51"/>
      <c r="AH52" s="62"/>
      <c r="AI52" s="53">
        <v>46148</v>
      </c>
      <c r="AJ52" s="51"/>
      <c r="AK52" s="62"/>
      <c r="AL52" s="53">
        <v>46148</v>
      </c>
      <c r="AM52" s="51"/>
      <c r="AN52" s="62"/>
      <c r="AO52" s="53">
        <v>46148</v>
      </c>
      <c r="AP52" s="51">
        <v>164</v>
      </c>
      <c r="AQ52" s="62"/>
      <c r="AR52" s="53"/>
      <c r="AS52" s="51"/>
      <c r="AT52" s="62"/>
      <c r="AU52" s="62"/>
      <c r="AV52" s="62"/>
      <c r="AW52" s="62"/>
      <c r="AX52" s="62"/>
      <c r="AY52" s="62"/>
    </row>
    <row r="53" customHeight="1" spans="2:51">
      <c r="B53" s="53">
        <v>46149</v>
      </c>
      <c r="C53" s="51"/>
      <c r="D53" s="62"/>
      <c r="E53" s="53">
        <v>46149</v>
      </c>
      <c r="F53" s="51"/>
      <c r="G53" s="62"/>
      <c r="H53" s="53">
        <v>46149</v>
      </c>
      <c r="I53" s="51"/>
      <c r="J53" s="62"/>
      <c r="K53" s="53">
        <v>46149</v>
      </c>
      <c r="L53" s="51">
        <v>253</v>
      </c>
      <c r="M53" s="62"/>
      <c r="N53" s="53">
        <v>46149</v>
      </c>
      <c r="O53" s="51"/>
      <c r="P53" s="62"/>
      <c r="Q53" s="53">
        <v>46149</v>
      </c>
      <c r="R53" s="51">
        <v>246</v>
      </c>
      <c r="S53" s="62"/>
      <c r="T53" s="53">
        <v>46149</v>
      </c>
      <c r="U53" s="51">
        <v>164</v>
      </c>
      <c r="V53" s="62"/>
      <c r="W53" s="53">
        <v>46149</v>
      </c>
      <c r="X53" s="51"/>
      <c r="Y53" s="62"/>
      <c r="Z53" s="53">
        <v>46149</v>
      </c>
      <c r="AA53" s="51"/>
      <c r="AB53" s="62"/>
      <c r="AC53" s="53">
        <v>46149</v>
      </c>
      <c r="AD53" s="51">
        <v>246</v>
      </c>
      <c r="AE53" s="62"/>
      <c r="AF53" s="53">
        <v>46149</v>
      </c>
      <c r="AG53" s="51"/>
      <c r="AH53" s="62"/>
      <c r="AI53" s="53">
        <v>46149</v>
      </c>
      <c r="AJ53" s="51"/>
      <c r="AK53" s="62"/>
      <c r="AL53" s="53">
        <v>46149</v>
      </c>
      <c r="AM53" s="51"/>
      <c r="AN53" s="62"/>
      <c r="AO53" s="53">
        <v>46149</v>
      </c>
      <c r="AP53" s="51"/>
      <c r="AQ53" s="62"/>
      <c r="AR53" s="53"/>
      <c r="AS53" s="51"/>
      <c r="AT53" s="62"/>
      <c r="AU53" s="62"/>
      <c r="AV53" s="62"/>
      <c r="AW53" s="62"/>
      <c r="AX53" s="62"/>
      <c r="AY53" s="62"/>
    </row>
    <row r="54" customHeight="1" spans="2:51">
      <c r="B54" s="53">
        <v>46150</v>
      </c>
      <c r="C54" s="51">
        <v>337</v>
      </c>
      <c r="D54" s="62"/>
      <c r="E54" s="53">
        <v>46150</v>
      </c>
      <c r="F54" s="51"/>
      <c r="G54" s="62"/>
      <c r="H54" s="53">
        <v>46150</v>
      </c>
      <c r="I54" s="51">
        <v>337</v>
      </c>
      <c r="J54" s="62"/>
      <c r="K54" s="53">
        <v>46150</v>
      </c>
      <c r="L54" s="51">
        <v>337</v>
      </c>
      <c r="M54" s="62"/>
      <c r="N54" s="53">
        <v>46150</v>
      </c>
      <c r="O54" s="51"/>
      <c r="P54" s="62"/>
      <c r="Q54" s="53">
        <v>46150</v>
      </c>
      <c r="R54" s="51">
        <v>164</v>
      </c>
      <c r="S54" s="62"/>
      <c r="T54" s="53">
        <v>46150</v>
      </c>
      <c r="U54" s="51"/>
      <c r="V54" s="62"/>
      <c r="W54" s="53">
        <v>46150</v>
      </c>
      <c r="X54" s="51"/>
      <c r="Y54" s="62"/>
      <c r="Z54" s="53">
        <v>46150</v>
      </c>
      <c r="AA54" s="51"/>
      <c r="AB54" s="62"/>
      <c r="AC54" s="53">
        <v>46150</v>
      </c>
      <c r="AD54" s="51"/>
      <c r="AE54" s="62"/>
      <c r="AF54" s="53">
        <v>46150</v>
      </c>
      <c r="AG54" s="51"/>
      <c r="AH54" s="62"/>
      <c r="AI54" s="53">
        <v>46150</v>
      </c>
      <c r="AJ54" s="51">
        <v>246</v>
      </c>
      <c r="AK54" s="62"/>
      <c r="AL54" s="53">
        <v>46150</v>
      </c>
      <c r="AM54" s="51"/>
      <c r="AN54" s="62"/>
      <c r="AO54" s="53">
        <v>46150</v>
      </c>
      <c r="AP54" s="76"/>
      <c r="AQ54" s="62"/>
      <c r="AR54" s="53"/>
      <c r="AS54" s="51"/>
      <c r="AT54" s="62"/>
      <c r="AU54" s="62"/>
      <c r="AV54" s="62"/>
      <c r="AW54" s="62"/>
      <c r="AX54" s="62"/>
      <c r="AY54" s="62"/>
    </row>
    <row r="55" customHeight="1" spans="2:51">
      <c r="B55" s="50">
        <v>46151</v>
      </c>
      <c r="C55" s="52"/>
      <c r="D55" s="62"/>
      <c r="E55" s="50">
        <v>46151</v>
      </c>
      <c r="F55" s="54">
        <v>337</v>
      </c>
      <c r="G55" s="62"/>
      <c r="H55" s="50">
        <v>46151</v>
      </c>
      <c r="I55" s="52"/>
      <c r="J55" s="62"/>
      <c r="K55" s="50">
        <v>46151</v>
      </c>
      <c r="L55" s="52"/>
      <c r="M55" s="62"/>
      <c r="N55" s="50">
        <v>46151</v>
      </c>
      <c r="O55" s="52"/>
      <c r="P55" s="62"/>
      <c r="Q55" s="50">
        <v>46151</v>
      </c>
      <c r="R55" s="54">
        <v>738</v>
      </c>
      <c r="S55" s="62"/>
      <c r="T55" s="50">
        <v>46151</v>
      </c>
      <c r="U55" s="52"/>
      <c r="V55" s="62"/>
      <c r="W55" s="50">
        <v>46151</v>
      </c>
      <c r="X55" s="52"/>
      <c r="Y55" s="62"/>
      <c r="Z55" s="50">
        <v>46151</v>
      </c>
      <c r="AA55" s="52"/>
      <c r="AB55" s="62"/>
      <c r="AC55" s="50">
        <v>46151</v>
      </c>
      <c r="AD55" s="52"/>
      <c r="AE55" s="62"/>
      <c r="AF55" s="50">
        <v>46151</v>
      </c>
      <c r="AG55" s="52"/>
      <c r="AH55" s="62"/>
      <c r="AI55" s="50">
        <v>46151</v>
      </c>
      <c r="AJ55" s="52"/>
      <c r="AK55" s="62"/>
      <c r="AL55" s="50">
        <v>46151</v>
      </c>
      <c r="AM55" s="52"/>
      <c r="AN55" s="62"/>
      <c r="AO55" s="50">
        <v>46151</v>
      </c>
      <c r="AP55" s="52"/>
      <c r="AQ55" s="62"/>
      <c r="AR55" s="50"/>
      <c r="AS55" s="51"/>
      <c r="AT55" s="62"/>
      <c r="AU55" s="62"/>
      <c r="AV55" s="62"/>
      <c r="AW55" s="62"/>
      <c r="AX55" s="62"/>
      <c r="AY55" s="62"/>
    </row>
    <row r="56" customHeight="1" spans="2:51">
      <c r="B56" s="50">
        <v>46152</v>
      </c>
      <c r="C56" s="52"/>
      <c r="D56" s="62"/>
      <c r="E56" s="50">
        <v>46152</v>
      </c>
      <c r="F56" s="52"/>
      <c r="G56" s="62"/>
      <c r="H56" s="50">
        <v>46152</v>
      </c>
      <c r="I56" s="52"/>
      <c r="J56" s="62"/>
      <c r="K56" s="50">
        <v>46152</v>
      </c>
      <c r="L56" s="52"/>
      <c r="M56" s="62"/>
      <c r="N56" s="50">
        <v>46152</v>
      </c>
      <c r="O56" s="52"/>
      <c r="P56" s="62"/>
      <c r="Q56" s="50">
        <v>46152</v>
      </c>
      <c r="R56" s="52"/>
      <c r="S56" s="62"/>
      <c r="T56" s="50">
        <v>46152</v>
      </c>
      <c r="U56" s="52"/>
      <c r="V56" s="62"/>
      <c r="W56" s="50">
        <v>46152</v>
      </c>
      <c r="X56" s="52"/>
      <c r="Y56" s="62"/>
      <c r="Z56" s="50">
        <v>46152</v>
      </c>
      <c r="AA56" s="52"/>
      <c r="AB56" s="62"/>
      <c r="AC56" s="50">
        <v>46152</v>
      </c>
      <c r="AD56" s="54">
        <v>328</v>
      </c>
      <c r="AE56" s="62"/>
      <c r="AF56" s="50">
        <v>46152</v>
      </c>
      <c r="AG56" s="52"/>
      <c r="AH56" s="62"/>
      <c r="AI56" s="50">
        <v>46152</v>
      </c>
      <c r="AJ56" s="52"/>
      <c r="AK56" s="62"/>
      <c r="AL56" s="50">
        <v>46152</v>
      </c>
      <c r="AM56" s="52"/>
      <c r="AN56" s="62"/>
      <c r="AO56" s="50">
        <v>46152</v>
      </c>
      <c r="AP56" s="52"/>
      <c r="AQ56" s="62"/>
      <c r="AR56" s="50"/>
      <c r="AS56" s="51"/>
      <c r="AT56" s="62"/>
      <c r="AU56" s="62"/>
      <c r="AV56" s="62"/>
      <c r="AW56" s="62"/>
      <c r="AX56" s="62"/>
      <c r="AY56" s="62"/>
    </row>
    <row r="57" customHeight="1" spans="2:51">
      <c r="B57" s="53">
        <v>46153</v>
      </c>
      <c r="C57" s="51"/>
      <c r="D57" s="62"/>
      <c r="E57" s="53">
        <v>46153</v>
      </c>
      <c r="F57" s="70"/>
      <c r="G57" s="62"/>
      <c r="H57" s="53">
        <v>46153</v>
      </c>
      <c r="I57" s="51"/>
      <c r="J57" s="62"/>
      <c r="K57" s="53">
        <v>46153</v>
      </c>
      <c r="L57" s="51"/>
      <c r="M57" s="62"/>
      <c r="N57" s="53">
        <v>46153</v>
      </c>
      <c r="O57" s="51"/>
      <c r="P57" s="62"/>
      <c r="Q57" s="53">
        <v>46153</v>
      </c>
      <c r="R57" s="51">
        <v>164</v>
      </c>
      <c r="S57" s="62"/>
      <c r="T57" s="53">
        <v>46153</v>
      </c>
      <c r="U57" s="51"/>
      <c r="V57" s="62"/>
      <c r="W57" s="53">
        <v>46153</v>
      </c>
      <c r="X57" s="51"/>
      <c r="Y57" s="62"/>
      <c r="Z57" s="53">
        <v>46153</v>
      </c>
      <c r="AA57" s="51"/>
      <c r="AB57" s="62"/>
      <c r="AC57" s="53">
        <v>46153</v>
      </c>
      <c r="AD57" s="51">
        <v>164</v>
      </c>
      <c r="AE57" s="62"/>
      <c r="AF57" s="53">
        <v>46153</v>
      </c>
      <c r="AG57" s="51"/>
      <c r="AH57" s="62"/>
      <c r="AI57" s="53">
        <v>46153</v>
      </c>
      <c r="AJ57" s="51"/>
      <c r="AK57" s="62"/>
      <c r="AL57" s="53">
        <v>46153</v>
      </c>
      <c r="AM57" s="51"/>
      <c r="AN57" s="62"/>
      <c r="AO57" s="53">
        <v>46153</v>
      </c>
      <c r="AP57" s="51"/>
      <c r="AQ57" s="62"/>
      <c r="AR57" s="53"/>
      <c r="AS57" s="51"/>
      <c r="AT57" s="62"/>
      <c r="AU57" s="62"/>
      <c r="AV57" s="62"/>
      <c r="AW57" s="62"/>
      <c r="AX57" s="62"/>
      <c r="AY57" s="62"/>
    </row>
    <row r="58" customHeight="1" spans="2:51">
      <c r="B58" s="53">
        <v>46154</v>
      </c>
      <c r="C58" s="51"/>
      <c r="D58" s="62"/>
      <c r="E58" s="53">
        <v>46154</v>
      </c>
      <c r="F58" s="76"/>
      <c r="G58" s="62"/>
      <c r="H58" s="53">
        <v>46154</v>
      </c>
      <c r="I58" s="51"/>
      <c r="J58" s="62"/>
      <c r="K58" s="53">
        <v>46154</v>
      </c>
      <c r="L58" s="51"/>
      <c r="M58" s="62"/>
      <c r="N58" s="53">
        <v>46154</v>
      </c>
      <c r="O58" s="70"/>
      <c r="P58" s="62"/>
      <c r="Q58" s="53">
        <v>46154</v>
      </c>
      <c r="R58" s="51"/>
      <c r="S58" s="62"/>
      <c r="T58" s="53">
        <v>46154</v>
      </c>
      <c r="U58" s="51"/>
      <c r="V58" s="62"/>
      <c r="W58" s="53">
        <v>46154</v>
      </c>
      <c r="X58" s="51"/>
      <c r="Y58" s="62"/>
      <c r="Z58" s="53">
        <v>46154</v>
      </c>
      <c r="AA58" s="51"/>
      <c r="AB58" s="62"/>
      <c r="AC58" s="53">
        <v>46154</v>
      </c>
      <c r="AD58" s="51"/>
      <c r="AE58" s="62"/>
      <c r="AF58" s="53">
        <v>46154</v>
      </c>
      <c r="AG58" s="70"/>
      <c r="AH58" s="62"/>
      <c r="AI58" s="53">
        <v>46154</v>
      </c>
      <c r="AJ58" s="51"/>
      <c r="AK58" s="62"/>
      <c r="AL58" s="53">
        <v>46154</v>
      </c>
      <c r="AM58" s="51"/>
      <c r="AN58" s="62"/>
      <c r="AO58" s="53">
        <v>46154</v>
      </c>
      <c r="AP58" s="51"/>
      <c r="AQ58" s="62"/>
      <c r="AR58" s="53"/>
      <c r="AS58" s="51"/>
      <c r="AT58" s="62"/>
      <c r="AU58" s="62"/>
      <c r="AV58" s="62"/>
      <c r="AW58" s="62"/>
      <c r="AX58" s="62"/>
      <c r="AY58" s="62"/>
    </row>
    <row r="59" customHeight="1" spans="2:51">
      <c r="B59" s="53">
        <v>46155</v>
      </c>
      <c r="C59" s="51"/>
      <c r="D59" s="62"/>
      <c r="E59" s="53">
        <v>46155</v>
      </c>
      <c r="F59" s="51"/>
      <c r="G59" s="62"/>
      <c r="H59" s="53">
        <v>46155</v>
      </c>
      <c r="I59" s="51"/>
      <c r="J59" s="62"/>
      <c r="K59" s="53">
        <v>46155</v>
      </c>
      <c r="L59" s="51"/>
      <c r="M59" s="62"/>
      <c r="N59" s="53">
        <v>46155</v>
      </c>
      <c r="O59" s="51"/>
      <c r="P59" s="62"/>
      <c r="Q59" s="53">
        <v>46155</v>
      </c>
      <c r="R59" s="51"/>
      <c r="S59" s="62"/>
      <c r="T59" s="53">
        <v>46155</v>
      </c>
      <c r="U59" s="70"/>
      <c r="V59" s="62"/>
      <c r="W59" s="53">
        <v>46155</v>
      </c>
      <c r="X59" s="51"/>
      <c r="Y59" s="62"/>
      <c r="Z59" s="53">
        <v>46155</v>
      </c>
      <c r="AA59" s="51"/>
      <c r="AB59" s="62"/>
      <c r="AC59" s="53">
        <v>46155</v>
      </c>
      <c r="AD59" s="70"/>
      <c r="AE59" s="62"/>
      <c r="AF59" s="53">
        <v>46155</v>
      </c>
      <c r="AG59" s="51"/>
      <c r="AH59" s="62"/>
      <c r="AI59" s="53">
        <v>46155</v>
      </c>
      <c r="AJ59" s="51"/>
      <c r="AK59" s="62"/>
      <c r="AL59" s="53">
        <v>46155</v>
      </c>
      <c r="AM59" s="51"/>
      <c r="AN59" s="62"/>
      <c r="AO59" s="53">
        <v>46155</v>
      </c>
      <c r="AP59" s="51"/>
      <c r="AQ59" s="62"/>
      <c r="AR59" s="53"/>
      <c r="AS59" s="51"/>
      <c r="AT59" s="62"/>
      <c r="AU59" s="62"/>
      <c r="AV59" s="62"/>
      <c r="AW59" s="62"/>
      <c r="AX59" s="62"/>
      <c r="AY59" s="62"/>
    </row>
    <row r="60" customHeight="1" spans="2:51">
      <c r="B60" s="53">
        <v>46156</v>
      </c>
      <c r="C60" s="51"/>
      <c r="D60" s="62"/>
      <c r="E60" s="53">
        <v>46156</v>
      </c>
      <c r="F60" s="51"/>
      <c r="G60" s="62"/>
      <c r="H60" s="53">
        <v>46156</v>
      </c>
      <c r="I60" s="51"/>
      <c r="J60" s="62"/>
      <c r="K60" s="53">
        <v>46156</v>
      </c>
      <c r="L60" s="51"/>
      <c r="M60" s="62"/>
      <c r="N60" s="53">
        <v>46156</v>
      </c>
      <c r="O60" s="70"/>
      <c r="P60" s="62"/>
      <c r="Q60" s="53">
        <v>46156</v>
      </c>
      <c r="R60" s="51"/>
      <c r="S60" s="62"/>
      <c r="T60" s="53">
        <v>46156</v>
      </c>
      <c r="U60" s="51"/>
      <c r="V60" s="62"/>
      <c r="W60" s="53">
        <v>46156</v>
      </c>
      <c r="X60" s="51"/>
      <c r="Y60" s="62"/>
      <c r="Z60" s="53">
        <v>46156</v>
      </c>
      <c r="AA60" s="51"/>
      <c r="AB60" s="62"/>
      <c r="AC60" s="53">
        <v>46156</v>
      </c>
      <c r="AD60" s="51"/>
      <c r="AE60" s="62"/>
      <c r="AF60" s="53">
        <v>46156</v>
      </c>
      <c r="AG60" s="51"/>
      <c r="AH60" s="62"/>
      <c r="AI60" s="53">
        <v>46156</v>
      </c>
      <c r="AJ60" s="51"/>
      <c r="AK60" s="62"/>
      <c r="AL60" s="53">
        <v>46156</v>
      </c>
      <c r="AM60" s="51">
        <v>164</v>
      </c>
      <c r="AN60" s="62"/>
      <c r="AO60" s="53">
        <v>46156</v>
      </c>
      <c r="AP60" s="51"/>
      <c r="AQ60" s="62"/>
      <c r="AR60" s="53"/>
      <c r="AS60" s="51"/>
      <c r="AT60" s="62"/>
      <c r="AU60" s="62"/>
      <c r="AV60" s="62"/>
      <c r="AW60" s="62"/>
      <c r="AX60" s="62"/>
      <c r="AY60" s="62"/>
    </row>
    <row r="61" customHeight="1" spans="2:51">
      <c r="B61" s="53">
        <v>46157</v>
      </c>
      <c r="C61" s="51"/>
      <c r="D61" s="62"/>
      <c r="E61" s="53">
        <v>46157</v>
      </c>
      <c r="F61" s="51"/>
      <c r="G61" s="62"/>
      <c r="H61" s="53">
        <v>46157</v>
      </c>
      <c r="I61" s="51"/>
      <c r="J61" s="62"/>
      <c r="K61" s="53">
        <v>46157</v>
      </c>
      <c r="L61" s="51">
        <v>421</v>
      </c>
      <c r="M61" s="62"/>
      <c r="N61" s="53">
        <v>46157</v>
      </c>
      <c r="O61" s="51"/>
      <c r="P61" s="62"/>
      <c r="Q61" s="53">
        <v>46157</v>
      </c>
      <c r="R61" s="70"/>
      <c r="S61" s="62"/>
      <c r="T61" s="53">
        <v>46157</v>
      </c>
      <c r="U61" s="51"/>
      <c r="V61" s="62"/>
      <c r="W61" s="53">
        <v>46157</v>
      </c>
      <c r="X61" s="51"/>
      <c r="Y61" s="62"/>
      <c r="Z61" s="53">
        <v>46157</v>
      </c>
      <c r="AA61" s="70"/>
      <c r="AB61" s="62"/>
      <c r="AC61" s="53">
        <v>46157</v>
      </c>
      <c r="AD61" s="51"/>
      <c r="AE61" s="62"/>
      <c r="AF61" s="53">
        <v>46157</v>
      </c>
      <c r="AG61" s="51"/>
      <c r="AH61" s="62"/>
      <c r="AI61" s="53">
        <v>46157</v>
      </c>
      <c r="AJ61" s="51"/>
      <c r="AK61" s="62"/>
      <c r="AL61" s="53">
        <v>46157</v>
      </c>
      <c r="AM61" s="51"/>
      <c r="AN61" s="62"/>
      <c r="AO61" s="53">
        <v>46157</v>
      </c>
      <c r="AP61" s="51"/>
      <c r="AQ61" s="62"/>
      <c r="AR61" s="53"/>
      <c r="AS61" s="51"/>
      <c r="AT61" s="62"/>
      <c r="AU61" s="62"/>
      <c r="AV61" s="62"/>
      <c r="AW61" s="62"/>
      <c r="AX61" s="62"/>
      <c r="AY61" s="62"/>
    </row>
    <row r="62" customHeight="1" spans="2:51">
      <c r="B62" s="50">
        <v>46158</v>
      </c>
      <c r="C62" s="52"/>
      <c r="D62" s="62"/>
      <c r="E62" s="50">
        <v>46158</v>
      </c>
      <c r="F62" s="52"/>
      <c r="G62" s="62"/>
      <c r="H62" s="50">
        <v>46158</v>
      </c>
      <c r="I62" s="52"/>
      <c r="J62" s="62"/>
      <c r="K62" s="50">
        <v>46158</v>
      </c>
      <c r="L62" s="51">
        <v>1178</v>
      </c>
      <c r="M62" s="62"/>
      <c r="N62" s="50">
        <v>46158</v>
      </c>
      <c r="O62" s="52"/>
      <c r="P62" s="62"/>
      <c r="Q62" s="50">
        <v>46158</v>
      </c>
      <c r="R62" s="52"/>
      <c r="S62" s="62"/>
      <c r="T62" s="50">
        <v>46158</v>
      </c>
      <c r="U62" s="52"/>
      <c r="V62" s="62"/>
      <c r="W62" s="50">
        <v>46158</v>
      </c>
      <c r="X62" s="52"/>
      <c r="Y62" s="62"/>
      <c r="Z62" s="50">
        <v>46158</v>
      </c>
      <c r="AA62" s="52"/>
      <c r="AB62" s="62"/>
      <c r="AC62" s="50">
        <v>46158</v>
      </c>
      <c r="AD62" s="52"/>
      <c r="AE62" s="62"/>
      <c r="AF62" s="50">
        <v>46158</v>
      </c>
      <c r="AG62" s="52"/>
      <c r="AH62" s="62"/>
      <c r="AI62" s="50">
        <v>46158</v>
      </c>
      <c r="AJ62" s="52"/>
      <c r="AK62" s="62"/>
      <c r="AL62" s="50">
        <v>46158</v>
      </c>
      <c r="AM62" s="52"/>
      <c r="AN62" s="62"/>
      <c r="AO62" s="50">
        <v>46158</v>
      </c>
      <c r="AP62" s="51"/>
      <c r="AQ62" s="62"/>
      <c r="AR62" s="50"/>
      <c r="AS62" s="51"/>
      <c r="AT62" s="62"/>
      <c r="AU62" s="62"/>
      <c r="AV62" s="62"/>
      <c r="AW62" s="62"/>
      <c r="AX62" s="62"/>
      <c r="AY62" s="62"/>
    </row>
    <row r="63" customHeight="1" spans="2:51">
      <c r="B63" s="50">
        <v>46159</v>
      </c>
      <c r="C63" s="54">
        <v>758</v>
      </c>
      <c r="D63" s="62"/>
      <c r="E63" s="50">
        <v>46159</v>
      </c>
      <c r="F63" s="52"/>
      <c r="G63" s="62"/>
      <c r="H63" s="50">
        <v>46159</v>
      </c>
      <c r="I63" s="54">
        <v>758</v>
      </c>
      <c r="J63" s="62"/>
      <c r="K63" s="50">
        <v>46159</v>
      </c>
      <c r="L63" s="52"/>
      <c r="M63" s="62"/>
      <c r="N63" s="50">
        <v>46159</v>
      </c>
      <c r="O63" s="52"/>
      <c r="P63" s="62"/>
      <c r="Q63" s="50">
        <v>46159</v>
      </c>
      <c r="R63" s="52"/>
      <c r="S63" s="62"/>
      <c r="T63" s="50">
        <v>46159</v>
      </c>
      <c r="U63" s="52"/>
      <c r="V63" s="62"/>
      <c r="W63" s="50">
        <v>46159</v>
      </c>
      <c r="X63" s="52"/>
      <c r="Y63" s="62"/>
      <c r="Z63" s="50">
        <v>46159</v>
      </c>
      <c r="AA63" s="52"/>
      <c r="AB63" s="62"/>
      <c r="AC63" s="50">
        <v>46159</v>
      </c>
      <c r="AD63" s="52"/>
      <c r="AE63" s="62"/>
      <c r="AF63" s="50">
        <v>46159</v>
      </c>
      <c r="AG63" s="52"/>
      <c r="AH63" s="62"/>
      <c r="AI63" s="50">
        <v>46159</v>
      </c>
      <c r="AJ63" s="52"/>
      <c r="AK63" s="62"/>
      <c r="AL63" s="50">
        <v>46159</v>
      </c>
      <c r="AM63" s="52"/>
      <c r="AN63" s="62"/>
      <c r="AO63" s="50">
        <v>46159</v>
      </c>
      <c r="AP63" s="51"/>
      <c r="AQ63" s="62"/>
      <c r="AR63" s="50"/>
      <c r="AS63" s="51"/>
      <c r="AT63" s="62"/>
      <c r="AU63" s="62"/>
      <c r="AV63" s="62"/>
      <c r="AW63" s="62"/>
      <c r="AX63" s="62"/>
      <c r="AY63" s="62"/>
    </row>
    <row r="64" customHeight="1" spans="2:51">
      <c r="B64" s="53">
        <v>46160</v>
      </c>
      <c r="C64" s="51"/>
      <c r="D64" s="62"/>
      <c r="E64" s="53">
        <v>46160</v>
      </c>
      <c r="F64" s="51"/>
      <c r="G64" s="62"/>
      <c r="H64" s="53">
        <v>46160</v>
      </c>
      <c r="I64" s="51"/>
      <c r="J64" s="62"/>
      <c r="K64" s="53">
        <v>46160</v>
      </c>
      <c r="L64" s="51">
        <v>168</v>
      </c>
      <c r="M64" s="62"/>
      <c r="N64" s="53">
        <v>46160</v>
      </c>
      <c r="O64" s="70"/>
      <c r="P64" s="62"/>
      <c r="Q64" s="53">
        <v>46160</v>
      </c>
      <c r="R64" s="51"/>
      <c r="S64" s="62"/>
      <c r="T64" s="53">
        <v>46160</v>
      </c>
      <c r="U64" s="51"/>
      <c r="V64" s="62"/>
      <c r="W64" s="53">
        <v>46160</v>
      </c>
      <c r="X64" s="51"/>
      <c r="Y64" s="62"/>
      <c r="Z64" s="53">
        <v>46160</v>
      </c>
      <c r="AA64" s="51"/>
      <c r="AB64" s="62"/>
      <c r="AC64" s="53">
        <v>46160</v>
      </c>
      <c r="AD64" s="51"/>
      <c r="AE64" s="62"/>
      <c r="AF64" s="53">
        <v>46160</v>
      </c>
      <c r="AG64" s="51"/>
      <c r="AH64" s="62"/>
      <c r="AI64" s="53">
        <v>46160</v>
      </c>
      <c r="AJ64" s="51"/>
      <c r="AK64" s="62"/>
      <c r="AL64" s="53">
        <v>46160</v>
      </c>
      <c r="AM64" s="51"/>
      <c r="AN64" s="62"/>
      <c r="AO64" s="53">
        <v>46160</v>
      </c>
      <c r="AP64" s="51"/>
      <c r="AQ64" s="62"/>
      <c r="AR64" s="53"/>
      <c r="AS64" s="51"/>
      <c r="AT64" s="62"/>
      <c r="AU64" s="62"/>
      <c r="AV64" s="62"/>
      <c r="AW64" s="62"/>
      <c r="AX64" s="62"/>
      <c r="AY64" s="62"/>
    </row>
    <row r="65" customHeight="1" spans="2:51">
      <c r="B65" s="53">
        <v>46161</v>
      </c>
      <c r="C65" s="51"/>
      <c r="D65" s="62"/>
      <c r="E65" s="53">
        <v>46161</v>
      </c>
      <c r="F65" s="51"/>
      <c r="G65" s="62"/>
      <c r="H65" s="53">
        <v>46161</v>
      </c>
      <c r="I65" s="51"/>
      <c r="J65" s="62"/>
      <c r="K65" s="53">
        <v>46161</v>
      </c>
      <c r="L65" s="51"/>
      <c r="M65" s="62"/>
      <c r="N65" s="53">
        <v>46161</v>
      </c>
      <c r="O65" s="51"/>
      <c r="P65" s="62"/>
      <c r="Q65" s="53">
        <v>46161</v>
      </c>
      <c r="R65" s="51"/>
      <c r="S65" s="62"/>
      <c r="T65" s="53">
        <v>46161</v>
      </c>
      <c r="U65" s="51">
        <v>164</v>
      </c>
      <c r="V65" s="62"/>
      <c r="W65" s="53">
        <v>46161</v>
      </c>
      <c r="X65" s="51"/>
      <c r="Y65" s="62"/>
      <c r="Z65" s="53">
        <v>46161</v>
      </c>
      <c r="AA65" s="51"/>
      <c r="AB65" s="62"/>
      <c r="AC65" s="53">
        <v>46161</v>
      </c>
      <c r="AD65" s="51"/>
      <c r="AE65" s="62"/>
      <c r="AF65" s="53">
        <v>46161</v>
      </c>
      <c r="AG65" s="51"/>
      <c r="AH65" s="62"/>
      <c r="AI65" s="53">
        <v>46161</v>
      </c>
      <c r="AJ65" s="51">
        <v>164</v>
      </c>
      <c r="AK65" s="62"/>
      <c r="AL65" s="53">
        <v>46161</v>
      </c>
      <c r="AM65" s="51">
        <v>164</v>
      </c>
      <c r="AN65" s="62"/>
      <c r="AO65" s="53">
        <v>46161</v>
      </c>
      <c r="AP65" s="51"/>
      <c r="AQ65" s="62"/>
      <c r="AR65" s="53"/>
      <c r="AS65" s="51"/>
      <c r="AT65" s="62"/>
      <c r="AU65" s="62"/>
      <c r="AV65" s="62"/>
      <c r="AW65" s="62"/>
      <c r="AX65" s="62"/>
      <c r="AY65" s="62"/>
    </row>
    <row r="66" customHeight="1" spans="2:51">
      <c r="B66" s="53">
        <v>46162</v>
      </c>
      <c r="C66" s="51"/>
      <c r="D66" s="62"/>
      <c r="E66" s="53">
        <v>46162</v>
      </c>
      <c r="F66" s="51"/>
      <c r="G66" s="62"/>
      <c r="H66" s="53">
        <v>46162</v>
      </c>
      <c r="I66" s="51"/>
      <c r="J66" s="62"/>
      <c r="K66" s="53">
        <v>46162</v>
      </c>
      <c r="L66" s="51">
        <v>168</v>
      </c>
      <c r="M66" s="62"/>
      <c r="N66" s="53">
        <v>46162</v>
      </c>
      <c r="O66" s="70"/>
      <c r="P66" s="62"/>
      <c r="Q66" s="53">
        <v>46162</v>
      </c>
      <c r="R66" s="51"/>
      <c r="S66" s="62"/>
      <c r="T66" s="53">
        <v>46162</v>
      </c>
      <c r="U66" s="51"/>
      <c r="V66" s="62"/>
      <c r="W66" s="53">
        <v>46162</v>
      </c>
      <c r="X66" s="51"/>
      <c r="Y66" s="62"/>
      <c r="Z66" s="53">
        <v>46162</v>
      </c>
      <c r="AA66" s="51"/>
      <c r="AB66" s="62"/>
      <c r="AC66" s="53">
        <v>46162</v>
      </c>
      <c r="AD66" s="51">
        <v>164</v>
      </c>
      <c r="AE66" s="62"/>
      <c r="AF66" s="53">
        <v>46162</v>
      </c>
      <c r="AG66" s="51"/>
      <c r="AH66" s="62"/>
      <c r="AI66" s="53">
        <v>46162</v>
      </c>
      <c r="AJ66" s="51">
        <v>164</v>
      </c>
      <c r="AK66" s="62"/>
      <c r="AL66" s="53">
        <v>46162</v>
      </c>
      <c r="AM66" s="51">
        <v>328</v>
      </c>
      <c r="AN66" s="62"/>
      <c r="AO66" s="53">
        <v>46162</v>
      </c>
      <c r="AP66" s="51"/>
      <c r="AQ66" s="62"/>
      <c r="AR66" s="53"/>
      <c r="AS66" s="51"/>
      <c r="AT66" s="62"/>
      <c r="AU66" s="62"/>
      <c r="AV66" s="62"/>
      <c r="AW66" s="62"/>
      <c r="AX66" s="62"/>
      <c r="AY66" s="62"/>
    </row>
    <row r="67" customHeight="1" spans="2:51">
      <c r="B67" s="53">
        <v>46163</v>
      </c>
      <c r="C67" s="51"/>
      <c r="D67" s="62"/>
      <c r="E67" s="53">
        <v>46163</v>
      </c>
      <c r="F67" s="76"/>
      <c r="G67" s="62"/>
      <c r="H67" s="53">
        <v>46163</v>
      </c>
      <c r="I67" s="51"/>
      <c r="J67" s="62"/>
      <c r="K67" s="53">
        <v>46163</v>
      </c>
      <c r="L67" s="51">
        <v>168</v>
      </c>
      <c r="M67" s="62"/>
      <c r="N67" s="53">
        <v>46163</v>
      </c>
      <c r="O67" s="51"/>
      <c r="P67" s="62"/>
      <c r="Q67" s="53">
        <v>46163</v>
      </c>
      <c r="R67" s="51"/>
      <c r="S67" s="62"/>
      <c r="T67" s="53">
        <v>46163</v>
      </c>
      <c r="U67" s="51"/>
      <c r="V67" s="62"/>
      <c r="W67" s="53">
        <v>46163</v>
      </c>
      <c r="X67" s="51"/>
      <c r="Y67" s="62"/>
      <c r="Z67" s="53">
        <v>46163</v>
      </c>
      <c r="AA67" s="51">
        <v>410</v>
      </c>
      <c r="AB67" s="62"/>
      <c r="AC67" s="53">
        <v>46163</v>
      </c>
      <c r="AD67" s="51"/>
      <c r="AE67" s="62"/>
      <c r="AF67" s="53">
        <v>46163</v>
      </c>
      <c r="AG67" s="51"/>
      <c r="AH67" s="62"/>
      <c r="AI67" s="53">
        <v>46163</v>
      </c>
      <c r="AJ67" s="51">
        <v>164</v>
      </c>
      <c r="AK67" s="62"/>
      <c r="AL67" s="53">
        <v>46163</v>
      </c>
      <c r="AM67" s="51">
        <v>164</v>
      </c>
      <c r="AN67" s="62"/>
      <c r="AO67" s="53">
        <v>46163</v>
      </c>
      <c r="AP67" s="51"/>
      <c r="AQ67" s="62"/>
      <c r="AR67" s="53"/>
      <c r="AS67" s="51"/>
      <c r="AT67" s="62"/>
      <c r="AU67" s="62"/>
      <c r="AV67" s="62"/>
      <c r="AW67" s="62"/>
      <c r="AX67" s="62"/>
      <c r="AY67" s="62"/>
    </row>
    <row r="68" customHeight="1" spans="2:51">
      <c r="B68" s="53">
        <v>46164</v>
      </c>
      <c r="C68" s="51"/>
      <c r="D68" s="62"/>
      <c r="E68" s="53">
        <v>46164</v>
      </c>
      <c r="F68" s="51"/>
      <c r="G68" s="62"/>
      <c r="H68" s="53">
        <v>46164</v>
      </c>
      <c r="I68" s="51"/>
      <c r="J68" s="62"/>
      <c r="K68" s="53">
        <v>46164</v>
      </c>
      <c r="L68" s="51">
        <v>758</v>
      </c>
      <c r="M68" s="62"/>
      <c r="N68" s="53">
        <v>46164</v>
      </c>
      <c r="O68" s="70"/>
      <c r="P68" s="62"/>
      <c r="Q68" s="53">
        <v>46164</v>
      </c>
      <c r="R68" s="51">
        <v>164</v>
      </c>
      <c r="S68" s="62"/>
      <c r="T68" s="53">
        <v>46164</v>
      </c>
      <c r="U68" s="51"/>
      <c r="V68" s="62"/>
      <c r="W68" s="53">
        <v>46164</v>
      </c>
      <c r="X68" s="51"/>
      <c r="Y68" s="62"/>
      <c r="Z68" s="53">
        <v>46164</v>
      </c>
      <c r="AA68" s="51"/>
      <c r="AB68" s="62"/>
      <c r="AC68" s="53">
        <v>46164</v>
      </c>
      <c r="AD68" s="51">
        <v>164</v>
      </c>
      <c r="AE68" s="62"/>
      <c r="AF68" s="53">
        <v>46164</v>
      </c>
      <c r="AG68" s="51"/>
      <c r="AH68" s="62"/>
      <c r="AI68" s="53">
        <v>46164</v>
      </c>
      <c r="AJ68" s="51">
        <v>164</v>
      </c>
      <c r="AK68" s="62"/>
      <c r="AL68" s="53">
        <v>46164</v>
      </c>
      <c r="AM68" s="89"/>
      <c r="AN68" s="62"/>
      <c r="AO68" s="53">
        <v>46164</v>
      </c>
      <c r="AP68" s="51"/>
      <c r="AQ68" s="62"/>
      <c r="AR68" s="53"/>
      <c r="AS68" s="51"/>
      <c r="AT68" s="62"/>
      <c r="AU68" s="62"/>
      <c r="AV68" s="62"/>
      <c r="AW68" s="62"/>
      <c r="AX68" s="62"/>
      <c r="AY68" s="62"/>
    </row>
    <row r="69" customHeight="1" spans="2:51">
      <c r="B69" s="50">
        <v>46165</v>
      </c>
      <c r="C69" s="52"/>
      <c r="D69" s="62"/>
      <c r="E69" s="50">
        <v>46165</v>
      </c>
      <c r="F69" s="52"/>
      <c r="G69" s="62"/>
      <c r="H69" s="50">
        <v>46165</v>
      </c>
      <c r="I69" s="52"/>
      <c r="J69" s="62"/>
      <c r="K69" s="50">
        <v>46165</v>
      </c>
      <c r="L69" s="51">
        <v>843</v>
      </c>
      <c r="M69" s="62"/>
      <c r="N69" s="50">
        <v>46165</v>
      </c>
      <c r="O69" s="52"/>
      <c r="P69" s="62"/>
      <c r="Q69" s="50">
        <v>46165</v>
      </c>
      <c r="R69" s="52"/>
      <c r="S69" s="62"/>
      <c r="T69" s="50">
        <v>46165</v>
      </c>
      <c r="U69" s="52"/>
      <c r="V69" s="62"/>
      <c r="W69" s="50">
        <v>46165</v>
      </c>
      <c r="X69" s="54">
        <v>328</v>
      </c>
      <c r="Y69" s="62"/>
      <c r="Z69" s="50">
        <v>46165</v>
      </c>
      <c r="AA69" s="52"/>
      <c r="AB69" s="62"/>
      <c r="AC69" s="50">
        <v>46165</v>
      </c>
      <c r="AD69" s="52"/>
      <c r="AE69" s="62"/>
      <c r="AF69" s="50">
        <v>46165</v>
      </c>
      <c r="AG69" s="52"/>
      <c r="AH69" s="62"/>
      <c r="AI69" s="50">
        <v>46165</v>
      </c>
      <c r="AJ69" s="52"/>
      <c r="AK69" s="62"/>
      <c r="AL69" s="50">
        <v>46165</v>
      </c>
      <c r="AM69" s="52"/>
      <c r="AN69" s="62"/>
      <c r="AO69" s="50">
        <v>46165</v>
      </c>
      <c r="AP69" s="51"/>
      <c r="AQ69" s="62"/>
      <c r="AR69" s="50"/>
      <c r="AS69" s="51"/>
      <c r="AT69" s="62"/>
      <c r="AU69" s="62"/>
      <c r="AV69" s="62"/>
      <c r="AW69" s="62"/>
      <c r="AX69" s="62"/>
      <c r="AY69" s="62"/>
    </row>
    <row r="70" customHeight="1" spans="2:51">
      <c r="B70" s="50">
        <v>46166</v>
      </c>
      <c r="C70" s="52"/>
      <c r="D70" s="62"/>
      <c r="E70" s="50">
        <v>46166</v>
      </c>
      <c r="F70" s="52"/>
      <c r="G70" s="62"/>
      <c r="H70" s="50">
        <v>46166</v>
      </c>
      <c r="I70" s="52"/>
      <c r="J70" s="62"/>
      <c r="K70" s="50">
        <v>46166</v>
      </c>
      <c r="L70" s="54">
        <v>547</v>
      </c>
      <c r="M70" s="62"/>
      <c r="N70" s="50">
        <v>46166</v>
      </c>
      <c r="O70" s="52"/>
      <c r="P70" s="62"/>
      <c r="Q70" s="50">
        <v>46166</v>
      </c>
      <c r="R70" s="52"/>
      <c r="S70" s="62"/>
      <c r="T70" s="50">
        <v>46166</v>
      </c>
      <c r="U70" s="52"/>
      <c r="V70" s="62"/>
      <c r="W70" s="50">
        <v>46166</v>
      </c>
      <c r="X70" s="52"/>
      <c r="Y70" s="62"/>
      <c r="Z70" s="50">
        <v>46166</v>
      </c>
      <c r="AA70" s="52"/>
      <c r="AB70" s="62"/>
      <c r="AC70" s="50">
        <v>46166</v>
      </c>
      <c r="AD70" s="52"/>
      <c r="AE70" s="62"/>
      <c r="AF70" s="50">
        <v>46166</v>
      </c>
      <c r="AG70" s="52"/>
      <c r="AH70" s="62"/>
      <c r="AI70" s="50">
        <v>46166</v>
      </c>
      <c r="AJ70" s="54">
        <v>328</v>
      </c>
      <c r="AK70" s="62"/>
      <c r="AL70" s="50">
        <v>46166</v>
      </c>
      <c r="AM70" s="52"/>
      <c r="AN70" s="62"/>
      <c r="AO70" s="50">
        <v>46166</v>
      </c>
      <c r="AP70" s="51"/>
      <c r="AQ70" s="62"/>
      <c r="AR70" s="50"/>
      <c r="AS70" s="51"/>
      <c r="AT70" s="62"/>
      <c r="AU70" s="62"/>
      <c r="AV70" s="62"/>
      <c r="AW70" s="62"/>
      <c r="AX70" s="62"/>
      <c r="AY70" s="62"/>
    </row>
    <row r="71" customHeight="1" spans="2:51">
      <c r="B71" s="53">
        <v>46167</v>
      </c>
      <c r="C71" s="51"/>
      <c r="D71" s="62"/>
      <c r="E71" s="53">
        <v>46167</v>
      </c>
      <c r="F71" s="51"/>
      <c r="G71" s="62"/>
      <c r="H71" s="53">
        <v>46167</v>
      </c>
      <c r="I71" s="51"/>
      <c r="J71" s="62"/>
      <c r="K71" s="53">
        <v>46167</v>
      </c>
      <c r="L71" s="51">
        <v>168</v>
      </c>
      <c r="M71" s="62"/>
      <c r="N71" s="53">
        <v>46167</v>
      </c>
      <c r="O71" s="70"/>
      <c r="P71" s="62"/>
      <c r="Q71" s="53">
        <v>46167</v>
      </c>
      <c r="R71" s="51"/>
      <c r="S71" s="62"/>
      <c r="T71" s="53">
        <v>46167</v>
      </c>
      <c r="U71" s="51"/>
      <c r="V71" s="62"/>
      <c r="W71" s="53">
        <v>46167</v>
      </c>
      <c r="X71" s="51"/>
      <c r="Y71" s="62"/>
      <c r="Z71" s="53">
        <v>46167</v>
      </c>
      <c r="AA71" s="51"/>
      <c r="AB71" s="62"/>
      <c r="AC71" s="53">
        <v>46167</v>
      </c>
      <c r="AD71" s="51">
        <v>164</v>
      </c>
      <c r="AE71" s="62"/>
      <c r="AF71" s="53">
        <v>46167</v>
      </c>
      <c r="AG71" s="51"/>
      <c r="AH71" s="62"/>
      <c r="AI71" s="53">
        <v>46167</v>
      </c>
      <c r="AJ71" s="51"/>
      <c r="AK71" s="62"/>
      <c r="AL71" s="53">
        <v>46167</v>
      </c>
      <c r="AM71" s="51"/>
      <c r="AN71" s="62"/>
      <c r="AO71" s="53">
        <v>46167</v>
      </c>
      <c r="AP71" s="51"/>
      <c r="AQ71" s="62"/>
      <c r="AR71" s="53"/>
      <c r="AS71" s="51"/>
      <c r="AT71" s="62"/>
      <c r="AU71" s="62"/>
      <c r="AV71" s="62"/>
      <c r="AW71" s="62"/>
      <c r="AX71" s="62"/>
      <c r="AY71" s="62"/>
    </row>
    <row r="72" customHeight="1" spans="2:51">
      <c r="B72" s="53">
        <v>46168</v>
      </c>
      <c r="C72" s="51"/>
      <c r="D72" s="62"/>
      <c r="E72" s="53">
        <v>46168</v>
      </c>
      <c r="F72" s="51"/>
      <c r="G72" s="62"/>
      <c r="H72" s="53">
        <v>46168</v>
      </c>
      <c r="I72" s="51"/>
      <c r="J72" s="62"/>
      <c r="K72" s="53">
        <v>46168</v>
      </c>
      <c r="L72" s="51"/>
      <c r="M72" s="62"/>
      <c r="N72" s="53">
        <v>46168</v>
      </c>
      <c r="O72" s="70"/>
      <c r="P72" s="62"/>
      <c r="Q72" s="53">
        <v>46168</v>
      </c>
      <c r="R72" s="51"/>
      <c r="S72" s="62"/>
      <c r="T72" s="53">
        <v>46168</v>
      </c>
      <c r="U72" s="51"/>
      <c r="V72" s="62"/>
      <c r="W72" s="53">
        <v>46168</v>
      </c>
      <c r="X72" s="51"/>
      <c r="Y72" s="62"/>
      <c r="Z72" s="53">
        <v>46168</v>
      </c>
      <c r="AA72" s="51"/>
      <c r="AB72" s="62"/>
      <c r="AC72" s="53">
        <v>46168</v>
      </c>
      <c r="AD72" s="51"/>
      <c r="AE72" s="62"/>
      <c r="AF72" s="53">
        <v>46168</v>
      </c>
      <c r="AG72" s="51"/>
      <c r="AH72" s="62"/>
      <c r="AI72" s="53">
        <v>46168</v>
      </c>
      <c r="AJ72" s="51"/>
      <c r="AK72" s="62"/>
      <c r="AL72" s="53">
        <v>46168</v>
      </c>
      <c r="AM72" s="89"/>
      <c r="AN72" s="62"/>
      <c r="AO72" s="53">
        <v>46168</v>
      </c>
      <c r="AP72" s="51"/>
      <c r="AQ72" s="62"/>
      <c r="AR72" s="53"/>
      <c r="AS72" s="51"/>
      <c r="AT72" s="62"/>
      <c r="AU72" s="62"/>
      <c r="AV72" s="62"/>
      <c r="AW72" s="62"/>
      <c r="AX72" s="62"/>
      <c r="AY72" s="62"/>
    </row>
    <row r="73" customHeight="1" spans="2:51">
      <c r="B73" s="53">
        <v>46169</v>
      </c>
      <c r="C73" s="51"/>
      <c r="D73" s="62"/>
      <c r="E73" s="53">
        <v>46169</v>
      </c>
      <c r="F73" s="76"/>
      <c r="G73" s="62"/>
      <c r="H73" s="53">
        <v>46169</v>
      </c>
      <c r="I73" s="51"/>
      <c r="J73" s="62"/>
      <c r="K73" s="53">
        <v>46169</v>
      </c>
      <c r="L73" s="51"/>
      <c r="M73" s="62"/>
      <c r="N73" s="53">
        <v>46169</v>
      </c>
      <c r="O73" s="70"/>
      <c r="P73" s="62"/>
      <c r="Q73" s="53">
        <v>46169</v>
      </c>
      <c r="R73" s="51"/>
      <c r="S73" s="62"/>
      <c r="T73" s="53">
        <v>46169</v>
      </c>
      <c r="U73" s="51"/>
      <c r="V73" s="62"/>
      <c r="W73" s="53">
        <v>46169</v>
      </c>
      <c r="X73" s="51"/>
      <c r="Y73" s="62"/>
      <c r="Z73" s="53">
        <v>46169</v>
      </c>
      <c r="AA73" s="51"/>
      <c r="AB73" s="62"/>
      <c r="AC73" s="53">
        <v>46169</v>
      </c>
      <c r="AD73" s="51"/>
      <c r="AE73" s="62"/>
      <c r="AF73" s="53">
        <v>46169</v>
      </c>
      <c r="AG73" s="51"/>
      <c r="AH73" s="62"/>
      <c r="AI73" s="53">
        <v>46169</v>
      </c>
      <c r="AJ73" s="70"/>
      <c r="AK73" s="62"/>
      <c r="AL73" s="53">
        <v>46169</v>
      </c>
      <c r="AM73" s="51"/>
      <c r="AN73" s="62"/>
      <c r="AO73" s="53">
        <v>46169</v>
      </c>
      <c r="AP73" s="51"/>
      <c r="AQ73" s="62"/>
      <c r="AR73" s="53"/>
      <c r="AS73" s="51"/>
      <c r="AT73" s="62"/>
      <c r="AU73" s="62"/>
      <c r="AV73" s="62"/>
      <c r="AW73" s="62"/>
      <c r="AX73" s="62"/>
      <c r="AY73" s="62"/>
    </row>
    <row r="74" customHeight="1" spans="2:51">
      <c r="B74" s="53">
        <v>46170</v>
      </c>
      <c r="C74" s="51"/>
      <c r="D74" s="62"/>
      <c r="E74" s="53">
        <v>46170</v>
      </c>
      <c r="F74" s="51"/>
      <c r="G74" s="62"/>
      <c r="H74" s="53">
        <v>46170</v>
      </c>
      <c r="I74" s="51"/>
      <c r="J74" s="62"/>
      <c r="K74" s="53">
        <v>46170</v>
      </c>
      <c r="L74" s="51"/>
      <c r="M74" s="62"/>
      <c r="N74" s="53">
        <v>46170</v>
      </c>
      <c r="O74" s="51"/>
      <c r="P74" s="62"/>
      <c r="Q74" s="53">
        <v>46170</v>
      </c>
      <c r="R74" s="51"/>
      <c r="S74" s="62"/>
      <c r="T74" s="53">
        <v>46170</v>
      </c>
      <c r="U74" s="51"/>
      <c r="V74" s="62"/>
      <c r="W74" s="53">
        <v>46170</v>
      </c>
      <c r="X74" s="51"/>
      <c r="Y74" s="62"/>
      <c r="Z74" s="53">
        <v>46170</v>
      </c>
      <c r="AA74" s="51"/>
      <c r="AB74" s="62"/>
      <c r="AC74" s="53">
        <v>46170</v>
      </c>
      <c r="AD74" s="51"/>
      <c r="AE74" s="62"/>
      <c r="AF74" s="53">
        <v>46170</v>
      </c>
      <c r="AG74" s="51"/>
      <c r="AH74" s="62"/>
      <c r="AI74" s="53">
        <v>46170</v>
      </c>
      <c r="AJ74" s="51"/>
      <c r="AK74" s="62"/>
      <c r="AL74" s="53">
        <v>46170</v>
      </c>
      <c r="AM74" s="51"/>
      <c r="AN74" s="62"/>
      <c r="AO74" s="53">
        <v>46170</v>
      </c>
      <c r="AP74" s="51"/>
      <c r="AQ74" s="62"/>
      <c r="AR74" s="53"/>
      <c r="AS74" s="51"/>
      <c r="AT74" s="62"/>
      <c r="AU74" s="62"/>
      <c r="AV74" s="62"/>
      <c r="AW74" s="62"/>
      <c r="AX74" s="62"/>
      <c r="AY74" s="62"/>
    </row>
    <row r="75" customHeight="1" spans="2:51">
      <c r="B75" s="53">
        <v>46171</v>
      </c>
      <c r="C75" s="51"/>
      <c r="D75" s="62"/>
      <c r="E75" s="53">
        <v>46171</v>
      </c>
      <c r="F75" s="51"/>
      <c r="G75" s="62"/>
      <c r="H75" s="53">
        <v>46171</v>
      </c>
      <c r="I75" s="51"/>
      <c r="J75" s="62"/>
      <c r="K75" s="53">
        <v>46171</v>
      </c>
      <c r="L75" s="51">
        <v>253</v>
      </c>
      <c r="M75" s="62"/>
      <c r="N75" s="53">
        <v>46171</v>
      </c>
      <c r="O75" s="70"/>
      <c r="P75" s="62"/>
      <c r="Q75" s="53">
        <v>46171</v>
      </c>
      <c r="R75" s="51"/>
      <c r="S75" s="62"/>
      <c r="T75" s="53">
        <v>46171</v>
      </c>
      <c r="U75" s="51"/>
      <c r="V75" s="62"/>
      <c r="W75" s="53">
        <v>46171</v>
      </c>
      <c r="X75" s="51"/>
      <c r="Y75" s="62"/>
      <c r="Z75" s="53">
        <v>46171</v>
      </c>
      <c r="AA75" s="51"/>
      <c r="AB75" s="62"/>
      <c r="AC75" s="53">
        <v>46171</v>
      </c>
      <c r="AD75" s="51"/>
      <c r="AE75" s="62"/>
      <c r="AF75" s="53">
        <v>46171</v>
      </c>
      <c r="AG75" s="51"/>
      <c r="AH75" s="62"/>
      <c r="AI75" s="53">
        <v>46171</v>
      </c>
      <c r="AJ75" s="51"/>
      <c r="AK75" s="62"/>
      <c r="AL75" s="53">
        <v>46171</v>
      </c>
      <c r="AM75" s="51"/>
      <c r="AN75" s="62"/>
      <c r="AO75" s="53">
        <v>46171</v>
      </c>
      <c r="AP75" s="51"/>
      <c r="AQ75" s="62"/>
      <c r="AR75" s="53"/>
      <c r="AS75" s="51"/>
      <c r="AT75" s="62"/>
      <c r="AU75" s="62"/>
      <c r="AV75" s="62"/>
      <c r="AW75" s="62"/>
      <c r="AX75" s="62"/>
      <c r="AY75" s="62"/>
    </row>
    <row r="76" customHeight="1" spans="2:51">
      <c r="B76" s="50">
        <v>46172</v>
      </c>
      <c r="C76" s="51">
        <v>1599</v>
      </c>
      <c r="D76" s="62"/>
      <c r="E76" s="50">
        <v>46172</v>
      </c>
      <c r="F76" s="54">
        <v>758</v>
      </c>
      <c r="G76" s="62"/>
      <c r="H76" s="50">
        <v>46172</v>
      </c>
      <c r="I76" s="51">
        <v>1599</v>
      </c>
      <c r="J76" s="62"/>
      <c r="K76" s="50">
        <v>46172</v>
      </c>
      <c r="L76" s="52"/>
      <c r="M76" s="62"/>
      <c r="N76" s="50">
        <v>46172</v>
      </c>
      <c r="O76" s="52"/>
      <c r="P76" s="62"/>
      <c r="Q76" s="50">
        <v>46172</v>
      </c>
      <c r="R76" s="52"/>
      <c r="S76" s="62"/>
      <c r="T76" s="50">
        <v>46172</v>
      </c>
      <c r="U76" s="52"/>
      <c r="V76" s="62"/>
      <c r="W76" s="50">
        <v>46172</v>
      </c>
      <c r="X76" s="52"/>
      <c r="Y76" s="62"/>
      <c r="Z76" s="50">
        <v>46172</v>
      </c>
      <c r="AA76" s="52"/>
      <c r="AB76" s="62"/>
      <c r="AC76" s="50">
        <v>46172</v>
      </c>
      <c r="AD76" s="52"/>
      <c r="AE76" s="62"/>
      <c r="AF76" s="50">
        <v>46172</v>
      </c>
      <c r="AG76" s="52"/>
      <c r="AH76" s="62"/>
      <c r="AI76" s="50">
        <v>46172</v>
      </c>
      <c r="AJ76" s="52"/>
      <c r="AK76" s="62"/>
      <c r="AL76" s="50">
        <v>46172</v>
      </c>
      <c r="AM76" s="52"/>
      <c r="AN76" s="62"/>
      <c r="AO76" s="50">
        <v>46172</v>
      </c>
      <c r="AP76" s="51"/>
      <c r="AQ76" s="62"/>
      <c r="AR76" s="50"/>
      <c r="AS76" s="51"/>
      <c r="AT76" s="62"/>
      <c r="AU76" s="62"/>
      <c r="AV76" s="62"/>
      <c r="AW76" s="62"/>
      <c r="AX76" s="62"/>
      <c r="AY76" s="62"/>
    </row>
    <row r="77" customHeight="1" spans="2:51">
      <c r="B77" s="50">
        <v>46173</v>
      </c>
      <c r="C77" s="52"/>
      <c r="D77" s="62"/>
      <c r="E77" s="50">
        <v>46173</v>
      </c>
      <c r="F77" s="52"/>
      <c r="G77" s="62"/>
      <c r="H77" s="50">
        <v>46173</v>
      </c>
      <c r="I77" s="52"/>
      <c r="J77" s="62"/>
      <c r="K77" s="50">
        <v>46173</v>
      </c>
      <c r="L77" s="52"/>
      <c r="M77" s="62"/>
      <c r="N77" s="50">
        <v>46173</v>
      </c>
      <c r="O77" s="52"/>
      <c r="P77" s="62"/>
      <c r="Q77" s="50">
        <v>46173</v>
      </c>
      <c r="R77" s="52"/>
      <c r="S77" s="62"/>
      <c r="T77" s="50">
        <v>46173</v>
      </c>
      <c r="U77" s="52"/>
      <c r="V77" s="62"/>
      <c r="W77" s="50">
        <v>46173</v>
      </c>
      <c r="X77" s="52"/>
      <c r="Y77" s="62"/>
      <c r="Z77" s="50">
        <v>46173</v>
      </c>
      <c r="AA77" s="52"/>
      <c r="AB77" s="62"/>
      <c r="AC77" s="50">
        <v>46173</v>
      </c>
      <c r="AD77" s="52"/>
      <c r="AE77" s="62"/>
      <c r="AF77" s="50">
        <v>46173</v>
      </c>
      <c r="AG77" s="52"/>
      <c r="AH77" s="62"/>
      <c r="AI77" s="50">
        <v>46173</v>
      </c>
      <c r="AJ77" s="52"/>
      <c r="AK77" s="62"/>
      <c r="AL77" s="50">
        <v>46173</v>
      </c>
      <c r="AM77" s="52"/>
      <c r="AN77" s="62"/>
      <c r="AO77" s="50">
        <v>46173</v>
      </c>
      <c r="AP77" s="51"/>
      <c r="AQ77" s="62"/>
      <c r="AR77" s="50"/>
      <c r="AS77" s="51"/>
      <c r="AT77" s="62"/>
      <c r="AU77" s="62"/>
      <c r="AV77" s="62"/>
      <c r="AW77" s="62"/>
      <c r="AX77" s="62"/>
      <c r="AY77" s="62"/>
    </row>
    <row r="78" customHeight="1" spans="2:51">
      <c r="B78" s="53"/>
      <c r="C78" s="71"/>
      <c r="D78" s="62"/>
      <c r="E78" s="53"/>
      <c r="F78" s="71"/>
      <c r="G78" s="62"/>
      <c r="H78" s="53"/>
      <c r="I78" s="51"/>
      <c r="J78" s="62"/>
      <c r="K78" s="53"/>
      <c r="L78" s="51"/>
      <c r="M78" s="62"/>
      <c r="N78" s="53"/>
      <c r="O78" s="51"/>
      <c r="P78" s="62"/>
      <c r="Q78" s="53"/>
      <c r="R78" s="51"/>
      <c r="S78" s="62"/>
      <c r="T78" s="53"/>
      <c r="U78" s="51"/>
      <c r="V78" s="62"/>
      <c r="W78" s="53"/>
      <c r="X78" s="51"/>
      <c r="Y78" s="62"/>
      <c r="Z78" s="53"/>
      <c r="AA78" s="51"/>
      <c r="AB78" s="62"/>
      <c r="AC78" s="53"/>
      <c r="AD78" s="51"/>
      <c r="AE78" s="62"/>
      <c r="AF78" s="53"/>
      <c r="AG78" s="51"/>
      <c r="AH78" s="62"/>
      <c r="AI78" s="53"/>
      <c r="AJ78" s="51"/>
      <c r="AK78" s="62"/>
      <c r="AL78" s="53"/>
      <c r="AM78" s="51"/>
      <c r="AN78" s="62"/>
      <c r="AO78" s="53"/>
      <c r="AP78" s="71"/>
      <c r="AQ78" s="62"/>
      <c r="AR78" s="53"/>
      <c r="AS78" s="71"/>
      <c r="AT78" s="62"/>
      <c r="AU78" s="62"/>
      <c r="AV78" s="62"/>
      <c r="AW78" s="62"/>
      <c r="AX78" s="62"/>
      <c r="AY78" s="62"/>
    </row>
    <row r="79" customHeight="1" spans="2:51">
      <c r="B79" s="55" t="s">
        <v>72</v>
      </c>
      <c r="C79" s="56">
        <f>SUM(C47:C78)</f>
        <v>4293</v>
      </c>
      <c r="D79" s="62"/>
      <c r="E79" s="55" t="s">
        <v>72</v>
      </c>
      <c r="F79" s="56">
        <f>SUM(F47:F78)</f>
        <v>1095</v>
      </c>
      <c r="G79" s="62"/>
      <c r="H79" s="55" t="s">
        <v>72</v>
      </c>
      <c r="I79" s="56">
        <f>SUM(I47:I78)</f>
        <v>4083</v>
      </c>
      <c r="J79" s="62"/>
      <c r="K79" s="55" t="s">
        <v>72</v>
      </c>
      <c r="L79" s="56">
        <f>SUM(L47:L78)</f>
        <v>7198</v>
      </c>
      <c r="M79" s="62"/>
      <c r="N79" s="55" t="s">
        <v>72</v>
      </c>
      <c r="O79" s="56">
        <f>SUM(O47:O78)</f>
        <v>328</v>
      </c>
      <c r="P79" s="62"/>
      <c r="Q79" s="55" t="s">
        <v>72</v>
      </c>
      <c r="R79" s="56">
        <f>SUM(R47:R78)</f>
        <v>1476</v>
      </c>
      <c r="S79" s="62"/>
      <c r="T79" s="55" t="s">
        <v>72</v>
      </c>
      <c r="U79" s="56">
        <f>SUM(U47:U78)</f>
        <v>328</v>
      </c>
      <c r="V79" s="62"/>
      <c r="W79" s="55" t="s">
        <v>72</v>
      </c>
      <c r="X79" s="56">
        <f>SUM(X47:X78)</f>
        <v>328</v>
      </c>
      <c r="Y79" s="62"/>
      <c r="Z79" s="55" t="s">
        <v>72</v>
      </c>
      <c r="AA79" s="56">
        <f>SUM(AA47:AA78)</f>
        <v>410</v>
      </c>
      <c r="AB79" s="62"/>
      <c r="AC79" s="55" t="s">
        <v>72</v>
      </c>
      <c r="AD79" s="56">
        <f>SUM(AD47:AD78)</f>
        <v>1230</v>
      </c>
      <c r="AE79" s="62"/>
      <c r="AF79" s="55" t="s">
        <v>72</v>
      </c>
      <c r="AG79" s="56">
        <f>SUM(AG47:AG78)</f>
        <v>0</v>
      </c>
      <c r="AH79" s="62"/>
      <c r="AI79" s="55" t="s">
        <v>72</v>
      </c>
      <c r="AJ79" s="56">
        <f>SUM(AJ47:AJ78)</f>
        <v>1230</v>
      </c>
      <c r="AK79" s="62"/>
      <c r="AL79" s="55" t="s">
        <v>72</v>
      </c>
      <c r="AM79" s="56">
        <f>SUM(AM47:AM78)</f>
        <v>820</v>
      </c>
      <c r="AN79" s="62"/>
      <c r="AO79" s="55" t="s">
        <v>72</v>
      </c>
      <c r="AP79" s="56">
        <f>SUM(AP47:AP78)</f>
        <v>164</v>
      </c>
      <c r="AQ79" s="62"/>
      <c r="AR79" s="55" t="s">
        <v>72</v>
      </c>
      <c r="AS79" s="56">
        <f>SUM(AS47:AS78)</f>
        <v>0</v>
      </c>
      <c r="AT79" s="62"/>
      <c r="AU79" s="62"/>
      <c r="AV79" s="62"/>
      <c r="AW79" s="62"/>
      <c r="AX79" s="62"/>
      <c r="AY79" s="62"/>
    </row>
    <row r="80" customHeight="1" spans="2:51">
      <c r="B80" s="57" t="s">
        <v>73</v>
      </c>
      <c r="C80" s="58"/>
      <c r="D80" s="62"/>
      <c r="E80" s="57" t="s">
        <v>73</v>
      </c>
      <c r="F80" s="58"/>
      <c r="G80" s="62"/>
      <c r="H80" s="57" t="s">
        <v>73</v>
      </c>
      <c r="I80" s="58"/>
      <c r="J80" s="62"/>
      <c r="K80" s="57" t="s">
        <v>73</v>
      </c>
      <c r="L80" s="58"/>
      <c r="M80" s="62"/>
      <c r="N80" s="57" t="s">
        <v>73</v>
      </c>
      <c r="O80" s="58"/>
      <c r="P80" s="62"/>
      <c r="Q80" s="57" t="s">
        <v>73</v>
      </c>
      <c r="R80" s="58"/>
      <c r="S80" s="62"/>
      <c r="T80" s="57" t="s">
        <v>73</v>
      </c>
      <c r="U80" s="58"/>
      <c r="V80" s="62"/>
      <c r="W80" s="57" t="s">
        <v>73</v>
      </c>
      <c r="X80" s="58"/>
      <c r="Y80" s="62"/>
      <c r="Z80" s="57" t="s">
        <v>73</v>
      </c>
      <c r="AA80" s="58"/>
      <c r="AB80" s="62"/>
      <c r="AC80" s="57" t="s">
        <v>73</v>
      </c>
      <c r="AD80" s="58"/>
      <c r="AE80" s="62"/>
      <c r="AF80" s="57" t="s">
        <v>73</v>
      </c>
      <c r="AG80" s="58"/>
      <c r="AH80" s="62"/>
      <c r="AI80" s="57" t="s">
        <v>73</v>
      </c>
      <c r="AJ80" s="58"/>
      <c r="AK80" s="62"/>
      <c r="AL80" s="57" t="s">
        <v>73</v>
      </c>
      <c r="AM80" s="58"/>
      <c r="AN80" s="62"/>
      <c r="AO80" s="57" t="s">
        <v>73</v>
      </c>
      <c r="AP80" s="58"/>
      <c r="AQ80" s="62"/>
      <c r="AR80" s="57" t="s">
        <v>73</v>
      </c>
      <c r="AS80" s="58"/>
      <c r="AT80" s="62"/>
      <c r="AU80" s="62"/>
      <c r="AV80" s="62"/>
      <c r="AW80" s="62"/>
      <c r="AX80" s="62"/>
      <c r="AY80" s="62"/>
    </row>
    <row r="81" customHeight="1" spans="2:51">
      <c r="B81" s="59"/>
      <c r="C81" s="60"/>
      <c r="D81" s="62"/>
      <c r="E81" s="59"/>
      <c r="F81" s="60"/>
      <c r="G81" s="62"/>
      <c r="H81" s="59"/>
      <c r="I81" s="60"/>
      <c r="J81" s="62"/>
      <c r="K81" s="59"/>
      <c r="L81" s="60"/>
      <c r="M81" s="62"/>
      <c r="N81" s="59"/>
      <c r="O81" s="60"/>
      <c r="P81" s="62"/>
      <c r="Q81" s="59"/>
      <c r="R81" s="60"/>
      <c r="S81" s="62"/>
      <c r="T81" s="59"/>
      <c r="U81" s="60"/>
      <c r="V81" s="62"/>
      <c r="W81" s="59"/>
      <c r="X81" s="60"/>
      <c r="Y81" s="62"/>
      <c r="Z81" s="59"/>
      <c r="AA81" s="60"/>
      <c r="AB81" s="62"/>
      <c r="AC81" s="59"/>
      <c r="AD81" s="60"/>
      <c r="AE81" s="62"/>
      <c r="AF81" s="59"/>
      <c r="AG81" s="60"/>
      <c r="AH81" s="62"/>
      <c r="AI81" s="59"/>
      <c r="AJ81" s="60"/>
      <c r="AK81" s="62"/>
      <c r="AL81" s="59"/>
      <c r="AM81" s="60"/>
      <c r="AN81" s="62"/>
      <c r="AO81" s="59"/>
      <c r="AP81" s="60"/>
      <c r="AQ81" s="62"/>
      <c r="AR81" s="59"/>
      <c r="AS81" s="60"/>
      <c r="AT81" s="62"/>
      <c r="AU81" s="62"/>
      <c r="AV81" s="62"/>
      <c r="AW81" s="62"/>
      <c r="AX81" s="62"/>
      <c r="AY81" s="62"/>
    </row>
    <row r="82" customHeight="1" spans="2:51">
      <c r="B82" s="61" t="s">
        <v>74</v>
      </c>
      <c r="C82" s="58">
        <f>C79+C80+C81</f>
        <v>4293</v>
      </c>
      <c r="D82" s="62"/>
      <c r="E82" s="61" t="s">
        <v>74</v>
      </c>
      <c r="F82" s="58">
        <f>F79+F80+F81</f>
        <v>1095</v>
      </c>
      <c r="G82" s="62"/>
      <c r="H82" s="61" t="s">
        <v>74</v>
      </c>
      <c r="I82" s="58">
        <f>I79+I80+I81</f>
        <v>4083</v>
      </c>
      <c r="J82" s="62"/>
      <c r="K82" s="61" t="s">
        <v>74</v>
      </c>
      <c r="L82" s="58">
        <f>L79+L80+L81</f>
        <v>7198</v>
      </c>
      <c r="M82" s="62"/>
      <c r="N82" s="61" t="s">
        <v>74</v>
      </c>
      <c r="O82" s="58">
        <f>O79+O80+O81</f>
        <v>328</v>
      </c>
      <c r="P82" s="62"/>
      <c r="Q82" s="61" t="s">
        <v>74</v>
      </c>
      <c r="R82" s="58">
        <f>R79+R80+R81</f>
        <v>1476</v>
      </c>
      <c r="S82" s="62"/>
      <c r="T82" s="61" t="s">
        <v>74</v>
      </c>
      <c r="U82" s="58">
        <f>U79+U80+U81</f>
        <v>328</v>
      </c>
      <c r="V82" s="62"/>
      <c r="W82" s="61" t="s">
        <v>74</v>
      </c>
      <c r="X82" s="58">
        <f>X79+X80+X81</f>
        <v>328</v>
      </c>
      <c r="Y82" s="62"/>
      <c r="Z82" s="61" t="s">
        <v>74</v>
      </c>
      <c r="AA82" s="58">
        <f>AA79+AA80+AA81</f>
        <v>410</v>
      </c>
      <c r="AB82" s="62"/>
      <c r="AC82" s="61" t="s">
        <v>74</v>
      </c>
      <c r="AD82" s="58">
        <f>AD79+AD80+AD81</f>
        <v>1230</v>
      </c>
      <c r="AE82" s="62"/>
      <c r="AF82" s="61" t="s">
        <v>74</v>
      </c>
      <c r="AG82" s="58">
        <f>AG79+AG80+AG81</f>
        <v>0</v>
      </c>
      <c r="AH82" s="62"/>
      <c r="AI82" s="61" t="s">
        <v>74</v>
      </c>
      <c r="AJ82" s="58">
        <f>AJ79+AJ80+AJ81</f>
        <v>1230</v>
      </c>
      <c r="AK82" s="62"/>
      <c r="AL82" s="61" t="s">
        <v>74</v>
      </c>
      <c r="AM82" s="58">
        <f>AM79+AM80+AM81</f>
        <v>820</v>
      </c>
      <c r="AN82" s="62"/>
      <c r="AO82" s="61" t="s">
        <v>74</v>
      </c>
      <c r="AP82" s="58">
        <f>AP79+AP80+AP81</f>
        <v>164</v>
      </c>
      <c r="AQ82" s="62"/>
      <c r="AR82" s="61" t="s">
        <v>74</v>
      </c>
      <c r="AS82" s="58">
        <f>AS79+AS80+AS81</f>
        <v>0</v>
      </c>
      <c r="AT82" s="62"/>
      <c r="AU82" s="62"/>
      <c r="AV82" s="62"/>
      <c r="AW82" s="62"/>
      <c r="AX82" s="62"/>
      <c r="AY82" s="62"/>
    </row>
    <row r="83" ht="20.1" customHeight="1" spans="2:15">
      <c r="B83" s="66" t="s">
        <v>75</v>
      </c>
      <c r="N83" s="88"/>
      <c r="O83" s="88"/>
    </row>
    <row r="85" customHeight="1" spans="2:2">
      <c r="B85" s="65"/>
    </row>
    <row r="86" customHeight="1" spans="2:2">
      <c r="B86" s="65"/>
    </row>
    <row r="87" s="63" customFormat="1" customHeight="1"/>
    <row r="88" s="63" customFormat="1" customHeight="1" spans="3:43">
      <c r="C88" s="67"/>
      <c r="E88" s="74"/>
      <c r="F88" s="74"/>
      <c r="H88" s="74"/>
      <c r="I88" s="74"/>
      <c r="J88" s="74"/>
      <c r="K88" s="87"/>
      <c r="M88" s="74"/>
      <c r="P88" s="74"/>
      <c r="S88" s="74"/>
      <c r="V88" s="74"/>
      <c r="Y88" s="74"/>
      <c r="AB88" s="74"/>
      <c r="AE88" s="74"/>
      <c r="AH88" s="74"/>
      <c r="AK88" s="74"/>
      <c r="AN88" s="74"/>
      <c r="AQ88" s="74"/>
    </row>
    <row r="89" s="63" customFormat="1" customHeight="1" spans="3:43">
      <c r="C89" s="82"/>
      <c r="E89" s="82"/>
      <c r="F89" s="82"/>
      <c r="H89" s="82"/>
      <c r="I89" s="82"/>
      <c r="J89" s="82"/>
      <c r="K89" s="82"/>
      <c r="M89" s="82"/>
      <c r="P89" s="82"/>
      <c r="S89" s="82"/>
      <c r="V89" s="82"/>
      <c r="Y89" s="82"/>
      <c r="AB89" s="82"/>
      <c r="AE89" s="82"/>
      <c r="AH89" s="82"/>
      <c r="AK89" s="82"/>
      <c r="AN89" s="82"/>
      <c r="AQ89" s="82"/>
    </row>
    <row r="90" customHeight="1" spans="2:43">
      <c r="B90" s="65"/>
      <c r="C90" s="82"/>
      <c r="E90" s="82"/>
      <c r="F90" s="82"/>
      <c r="H90" s="82"/>
      <c r="I90" s="82"/>
      <c r="J90" s="82"/>
      <c r="K90" s="82"/>
      <c r="M90" s="82"/>
      <c r="P90" s="82"/>
      <c r="S90" s="82"/>
      <c r="V90" s="82"/>
      <c r="Y90" s="82"/>
      <c r="AB90" s="82"/>
      <c r="AE90" s="82"/>
      <c r="AH90" s="82"/>
      <c r="AK90" s="82"/>
      <c r="AN90" s="82"/>
      <c r="AQ90" s="82"/>
    </row>
    <row r="91" customHeight="1" spans="2:43">
      <c r="B91" s="65"/>
      <c r="C91" s="82"/>
      <c r="E91" s="82"/>
      <c r="F91" s="82"/>
      <c r="H91" s="82"/>
      <c r="I91" s="82"/>
      <c r="J91" s="82"/>
      <c r="K91" s="82"/>
      <c r="M91" s="82"/>
      <c r="P91" s="82"/>
      <c r="S91" s="82"/>
      <c r="V91" s="82"/>
      <c r="Y91" s="82"/>
      <c r="AB91" s="82"/>
      <c r="AE91" s="82"/>
      <c r="AH91" s="82"/>
      <c r="AK91" s="82"/>
      <c r="AN91" s="82"/>
      <c r="AQ91" s="82"/>
    </row>
    <row r="92" customHeight="1" spans="2:43">
      <c r="B92" s="65"/>
      <c r="C92" s="82"/>
      <c r="E92" s="82"/>
      <c r="F92" s="82"/>
      <c r="H92" s="82"/>
      <c r="I92" s="82"/>
      <c r="J92" s="82"/>
      <c r="K92" s="82"/>
      <c r="M92" s="82"/>
      <c r="P92" s="82"/>
      <c r="S92" s="82"/>
      <c r="V92" s="82"/>
      <c r="Y92" s="82"/>
      <c r="AB92" s="82"/>
      <c r="AE92" s="82"/>
      <c r="AH92" s="82"/>
      <c r="AK92" s="82"/>
      <c r="AN92" s="82"/>
      <c r="AQ92" s="82"/>
    </row>
    <row r="93" customHeight="1" spans="2:43">
      <c r="B93" s="65"/>
      <c r="C93" s="74"/>
      <c r="E93" s="74"/>
      <c r="F93" s="82"/>
      <c r="H93" s="82"/>
      <c r="I93" s="82"/>
      <c r="J93" s="82"/>
      <c r="K93" s="82"/>
      <c r="M93" s="82"/>
      <c r="P93" s="82"/>
      <c r="S93" s="82"/>
      <c r="V93" s="82"/>
      <c r="Y93" s="82"/>
      <c r="AB93" s="82"/>
      <c r="AE93" s="82"/>
      <c r="AH93" s="82"/>
      <c r="AK93" s="82"/>
      <c r="AN93" s="82"/>
      <c r="AQ93" s="82"/>
    </row>
    <row r="94" customHeight="1" spans="2:2">
      <c r="B94" s="65"/>
    </row>
    <row r="95" customHeight="1" spans="2:2">
      <c r="B95" s="65"/>
    </row>
    <row r="96" customHeight="1" spans="2:2">
      <c r="B96" s="65"/>
    </row>
    <row r="97" customHeight="1" spans="2:2">
      <c r="B97" s="65"/>
    </row>
    <row r="98" customHeight="1" spans="2:2">
      <c r="B98" s="65"/>
    </row>
    <row r="99" customHeight="1" spans="2:2">
      <c r="B99" s="65"/>
    </row>
    <row r="100" customHeight="1" spans="2:2">
      <c r="B100" s="65"/>
    </row>
    <row r="101" customHeight="1" spans="2:2">
      <c r="B101" s="65"/>
    </row>
    <row r="102" customHeight="1" spans="2:2">
      <c r="B102" s="65"/>
    </row>
    <row r="103" customHeight="1" spans="2:2">
      <c r="B103" s="65"/>
    </row>
    <row r="104" customHeight="1" spans="2:2">
      <c r="B104" s="65"/>
    </row>
    <row r="105" customHeight="1" spans="2:2">
      <c r="B105" s="65"/>
    </row>
    <row r="106" customHeight="1" spans="2:2">
      <c r="B106" s="65"/>
    </row>
    <row r="107" customHeight="1" spans="2:2">
      <c r="B107" s="65"/>
    </row>
    <row r="108" customHeight="1" spans="2:2">
      <c r="B108" s="65"/>
    </row>
    <row r="109" customHeight="1" spans="2:2">
      <c r="B109" s="65"/>
    </row>
    <row r="110" customHeight="1" spans="2:2">
      <c r="B110" s="65"/>
    </row>
    <row r="111" customHeight="1" spans="2:2">
      <c r="B111" s="65"/>
    </row>
    <row r="112" customHeight="1" spans="2:2">
      <c r="B112" s="65"/>
    </row>
    <row r="113" customHeight="1" spans="2:2">
      <c r="B113" s="65"/>
    </row>
    <row r="114" customHeight="1" spans="2:2">
      <c r="B114" s="65"/>
    </row>
    <row r="115" customHeight="1" spans="2:2">
      <c r="B115" s="65"/>
    </row>
    <row r="116" customHeight="1" spans="2:2">
      <c r="B116" s="65"/>
    </row>
    <row r="117" s="64" customFormat="1" customHeight="1"/>
    <row r="118" customHeight="1" spans="2:2">
      <c r="B118" s="65"/>
    </row>
    <row r="119" customHeight="1" spans="2:2">
      <c r="B119" s="65"/>
    </row>
    <row r="120" customHeight="1" spans="2:2">
      <c r="B120" s="65"/>
    </row>
    <row r="121" customHeight="1" spans="2:2">
      <c r="B121" s="65"/>
    </row>
    <row r="122" customHeight="1" spans="2:43">
      <c r="B122" s="83"/>
      <c r="C122" s="84"/>
      <c r="F122" s="74"/>
      <c r="H122" s="74"/>
      <c r="I122" s="82"/>
      <c r="J122" s="82"/>
      <c r="K122" s="82"/>
      <c r="L122" s="82"/>
      <c r="M122" s="82"/>
      <c r="N122" s="82"/>
      <c r="P122" s="82"/>
      <c r="S122" s="82"/>
      <c r="V122" s="82"/>
      <c r="Y122" s="82"/>
      <c r="AB122" s="82"/>
      <c r="AE122" s="82"/>
      <c r="AH122" s="82"/>
      <c r="AK122" s="82"/>
      <c r="AN122" s="82"/>
      <c r="AQ122" s="82"/>
    </row>
    <row r="123" s="62" customFormat="1" customHeight="1" spans="2:8">
      <c r="B123" s="85"/>
      <c r="C123" s="86"/>
      <c r="F123" s="78"/>
      <c r="H123" s="78"/>
    </row>
  </sheetData>
  <mergeCells count="35">
    <mergeCell ref="B2:C2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T2:AU2"/>
    <mergeCell ref="AV2:AW2"/>
    <mergeCell ref="B40:C40"/>
    <mergeCell ref="N40:O40"/>
    <mergeCell ref="B45:C45"/>
    <mergeCell ref="E45:F45"/>
    <mergeCell ref="H45:I45"/>
    <mergeCell ref="K45:L45"/>
    <mergeCell ref="N45:O45"/>
    <mergeCell ref="Q45:R45"/>
    <mergeCell ref="T45:U45"/>
    <mergeCell ref="W45:X45"/>
    <mergeCell ref="Z45:AA45"/>
    <mergeCell ref="AC45:AD45"/>
    <mergeCell ref="AF45:AG45"/>
    <mergeCell ref="AI45:AJ45"/>
    <mergeCell ref="AL45:AM45"/>
    <mergeCell ref="AO45:AP45"/>
    <mergeCell ref="AR45:AS45"/>
    <mergeCell ref="N83:O83"/>
  </mergeCells>
  <pageMargins left="0" right="0" top="0.196850393700787" bottom="0" header="0.31496062992126" footer="0"/>
  <pageSetup paperSize="9" scale="6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opLeftCell="A20" workbookViewId="0">
      <selection activeCell="E38" sqref="E38"/>
    </sheetView>
  </sheetViews>
  <sheetFormatPr defaultColWidth="9.14285714285714" defaultRowHeight="17.6"/>
  <cols>
    <col min="1" max="1" width="15.1696428571429" customWidth="1"/>
    <col min="2" max="2" width="13.8392857142857" customWidth="1"/>
    <col min="3" max="3" width="16.3571428571429" customWidth="1"/>
  </cols>
  <sheetData>
    <row r="1" spans="9:10">
      <c r="I1" s="49" t="s">
        <v>42</v>
      </c>
      <c r="J1" s="49"/>
    </row>
    <row r="2" ht="21" spans="1:10">
      <c r="A2" s="1" t="s">
        <v>0</v>
      </c>
      <c r="B2" s="1"/>
      <c r="C2" s="1"/>
      <c r="I2" s="49" t="s">
        <v>70</v>
      </c>
      <c r="J2" s="49" t="s">
        <v>71</v>
      </c>
    </row>
    <row r="3" ht="21" spans="1:10">
      <c r="A3" s="2" t="s">
        <v>2</v>
      </c>
      <c r="B3" s="2"/>
      <c r="C3" s="3" t="s">
        <v>42</v>
      </c>
      <c r="I3" s="50">
        <v>46143</v>
      </c>
      <c r="J3" s="51">
        <v>1599</v>
      </c>
    </row>
    <row r="4" ht="20.4" spans="1:10">
      <c r="A4" s="4" t="s">
        <v>5</v>
      </c>
      <c r="B4" s="5">
        <v>30</v>
      </c>
      <c r="C4" s="6">
        <v>30300</v>
      </c>
      <c r="I4" s="50">
        <v>46144</v>
      </c>
      <c r="J4" s="52"/>
    </row>
    <row r="5" ht="20.4" spans="1:10">
      <c r="A5" s="7"/>
      <c r="B5" s="8"/>
      <c r="C5" s="9"/>
      <c r="I5" s="50">
        <v>46145</v>
      </c>
      <c r="J5" s="52"/>
    </row>
    <row r="6" ht="20.4" spans="1:10">
      <c r="A6" s="7"/>
      <c r="B6" s="8"/>
      <c r="C6" s="9"/>
      <c r="I6" s="53">
        <v>46146</v>
      </c>
      <c r="J6" s="51"/>
    </row>
    <row r="7" ht="20.4" spans="1:10">
      <c r="A7" s="10" t="s">
        <v>6</v>
      </c>
      <c r="B7" s="11"/>
      <c r="C7" s="12"/>
      <c r="I7" s="53">
        <v>46147</v>
      </c>
      <c r="J7" s="51">
        <v>337</v>
      </c>
    </row>
    <row r="8" ht="20.4" spans="1:10">
      <c r="A8" s="13" t="s">
        <v>7</v>
      </c>
      <c r="B8" s="14"/>
      <c r="C8" s="15">
        <f>SUM(C4:C7)</f>
        <v>30300</v>
      </c>
      <c r="I8" s="53">
        <v>46148</v>
      </c>
      <c r="J8" s="51"/>
    </row>
    <row r="9" ht="20.4" spans="1:10">
      <c r="A9" s="16" t="s">
        <v>8</v>
      </c>
      <c r="B9" s="17"/>
      <c r="C9" s="18">
        <v>110</v>
      </c>
      <c r="I9" s="53">
        <v>46149</v>
      </c>
      <c r="J9" s="51">
        <v>253</v>
      </c>
    </row>
    <row r="10" ht="20.4" spans="1:10">
      <c r="A10" s="7" t="s">
        <v>9</v>
      </c>
      <c r="B10" s="19"/>
      <c r="C10" s="9">
        <v>84</v>
      </c>
      <c r="I10" s="53">
        <v>46150</v>
      </c>
      <c r="J10" s="51">
        <v>337</v>
      </c>
    </row>
    <row r="11" ht="20.4" spans="1:10">
      <c r="A11" s="7" t="s">
        <v>10</v>
      </c>
      <c r="B11" s="8"/>
      <c r="C11" s="9">
        <v>77</v>
      </c>
      <c r="I11" s="50">
        <v>46151</v>
      </c>
      <c r="J11" s="52"/>
    </row>
    <row r="12" ht="20.4" spans="1:10">
      <c r="A12" s="7"/>
      <c r="B12" s="19"/>
      <c r="C12" s="9"/>
      <c r="I12" s="50">
        <v>46152</v>
      </c>
      <c r="J12" s="52"/>
    </row>
    <row r="13" ht="20.4" spans="1:10">
      <c r="A13" s="20"/>
      <c r="B13" s="21"/>
      <c r="C13" s="22"/>
      <c r="I13" s="53">
        <v>46153</v>
      </c>
      <c r="J13" s="51"/>
    </row>
    <row r="14" ht="20.4" spans="1:10">
      <c r="A14" s="23" t="s">
        <v>11</v>
      </c>
      <c r="B14" s="24"/>
      <c r="C14" s="25">
        <f>SUM(C9:C13)</f>
        <v>271</v>
      </c>
      <c r="I14" s="53">
        <v>46154</v>
      </c>
      <c r="J14" s="51"/>
    </row>
    <row r="15" ht="20.4" spans="1:10">
      <c r="A15" s="7" t="s">
        <v>12</v>
      </c>
      <c r="B15" s="19">
        <v>23.5</v>
      </c>
      <c r="C15" s="26"/>
      <c r="I15" s="53">
        <v>46155</v>
      </c>
      <c r="J15" s="51"/>
    </row>
    <row r="16" ht="20.4" spans="1:10">
      <c r="A16" s="27" t="s">
        <v>13</v>
      </c>
      <c r="B16" s="11"/>
      <c r="C16" s="28">
        <f>C14*B15</f>
        <v>6368.5</v>
      </c>
      <c r="I16" s="53">
        <v>46156</v>
      </c>
      <c r="J16" s="51"/>
    </row>
    <row r="17" ht="20.4" spans="1:10">
      <c r="A17" s="29" t="s">
        <v>14</v>
      </c>
      <c r="B17" s="30"/>
      <c r="C17" s="31">
        <f>C4*0.06</f>
        <v>1818</v>
      </c>
      <c r="I17" s="53">
        <v>46157</v>
      </c>
      <c r="J17" s="51">
        <v>421</v>
      </c>
    </row>
    <row r="18" ht="20.4" spans="1:10">
      <c r="A18" s="7" t="s">
        <v>38</v>
      </c>
      <c r="B18" s="32"/>
      <c r="C18" s="9">
        <v>1000</v>
      </c>
      <c r="I18" s="50">
        <v>46158</v>
      </c>
      <c r="J18" s="51">
        <v>1178</v>
      </c>
    </row>
    <row r="19" ht="20.4" spans="1:10">
      <c r="A19" s="7"/>
      <c r="B19" s="32"/>
      <c r="C19" s="9"/>
      <c r="I19" s="50">
        <v>46159</v>
      </c>
      <c r="J19" s="52"/>
    </row>
    <row r="20" ht="20.4" spans="1:10">
      <c r="A20" s="7" t="s">
        <v>9</v>
      </c>
      <c r="B20" s="21"/>
      <c r="C20" s="22">
        <v>7198</v>
      </c>
      <c r="I20" s="53">
        <v>46160</v>
      </c>
      <c r="J20" s="51">
        <v>168</v>
      </c>
    </row>
    <row r="21" ht="21.15" spans="1:10">
      <c r="A21" s="33" t="s">
        <v>18</v>
      </c>
      <c r="B21" s="34"/>
      <c r="C21" s="35">
        <f>C8+C16+C17+C18+C19+C20</f>
        <v>46684.5</v>
      </c>
      <c r="I21" s="53">
        <v>46161</v>
      </c>
      <c r="J21" s="51"/>
    </row>
    <row r="22" ht="20.4" spans="1:10">
      <c r="A22" s="29" t="s">
        <v>19</v>
      </c>
      <c r="B22" s="30"/>
      <c r="C22" s="36">
        <v>758</v>
      </c>
      <c r="I22" s="53">
        <v>46162</v>
      </c>
      <c r="J22" s="51">
        <v>168</v>
      </c>
    </row>
    <row r="23" ht="20.4" spans="1:10">
      <c r="A23" s="7" t="s">
        <v>20</v>
      </c>
      <c r="B23" s="8"/>
      <c r="C23" s="9">
        <v>470</v>
      </c>
      <c r="I23" s="53">
        <v>46163</v>
      </c>
      <c r="J23" s="51">
        <v>168</v>
      </c>
    </row>
    <row r="24" ht="20.4" spans="1:10">
      <c r="A24" s="7"/>
      <c r="B24" s="8"/>
      <c r="C24" s="9"/>
      <c r="I24" s="53">
        <v>46164</v>
      </c>
      <c r="J24" s="51">
        <v>758</v>
      </c>
    </row>
    <row r="25" ht="20.4" spans="1:10">
      <c r="A25" s="7" t="s">
        <v>33</v>
      </c>
      <c r="B25" s="21"/>
      <c r="C25" s="22">
        <v>1805</v>
      </c>
      <c r="I25" s="50">
        <v>46165</v>
      </c>
      <c r="J25" s="51">
        <v>843</v>
      </c>
    </row>
    <row r="26" ht="21.15" spans="1:10">
      <c r="A26" s="37" t="s">
        <v>21</v>
      </c>
      <c r="B26" s="38"/>
      <c r="C26" s="39">
        <f>SUM(C22:C25)</f>
        <v>3033</v>
      </c>
      <c r="I26" s="50">
        <v>46166</v>
      </c>
      <c r="J26" s="54">
        <v>547</v>
      </c>
    </row>
    <row r="27" ht="21.15" spans="1:10">
      <c r="A27" s="40" t="s">
        <v>22</v>
      </c>
      <c r="B27" s="41"/>
      <c r="C27" s="42">
        <f>C8</f>
        <v>30300</v>
      </c>
      <c r="I27" s="53">
        <v>46167</v>
      </c>
      <c r="J27" s="51">
        <v>168</v>
      </c>
    </row>
    <row r="28" ht="20.4" spans="1:10">
      <c r="A28" s="43" t="s">
        <v>24</v>
      </c>
      <c r="B28" s="44"/>
      <c r="C28" s="45">
        <f>C21-C26-C27-C29</f>
        <v>11533.5</v>
      </c>
      <c r="I28" s="53">
        <v>46168</v>
      </c>
      <c r="J28" s="51"/>
    </row>
    <row r="29" ht="21.15" spans="1:10">
      <c r="A29" s="46" t="s">
        <v>25</v>
      </c>
      <c r="B29" s="47"/>
      <c r="C29" s="48">
        <f>C17</f>
        <v>1818</v>
      </c>
      <c r="I29" s="53">
        <v>46169</v>
      </c>
      <c r="J29" s="51"/>
    </row>
    <row r="30" ht="18.35" spans="9:10">
      <c r="I30" s="53">
        <v>46170</v>
      </c>
      <c r="J30" s="51"/>
    </row>
    <row r="31" spans="9:10">
      <c r="I31" s="53">
        <v>46171</v>
      </c>
      <c r="J31" s="51">
        <v>253</v>
      </c>
    </row>
    <row r="32" spans="9:10">
      <c r="I32" s="50">
        <v>46172</v>
      </c>
      <c r="J32" s="52"/>
    </row>
    <row r="33" spans="9:10">
      <c r="I33" s="50">
        <v>46173</v>
      </c>
      <c r="J33" s="52"/>
    </row>
    <row r="34" spans="9:10">
      <c r="I34" s="53"/>
      <c r="J34" s="51"/>
    </row>
    <row r="35" spans="9:10">
      <c r="I35" s="55" t="s">
        <v>72</v>
      </c>
      <c r="J35" s="56">
        <f>SUM(J3:J34)</f>
        <v>7198</v>
      </c>
    </row>
    <row r="36" spans="9:10">
      <c r="I36" s="57" t="s">
        <v>73</v>
      </c>
      <c r="J36" s="58"/>
    </row>
    <row r="37" spans="9:10">
      <c r="I37" s="59"/>
      <c r="J37" s="60"/>
    </row>
    <row r="38" spans="9:10">
      <c r="I38" s="61" t="s">
        <v>74</v>
      </c>
      <c r="J38" s="58">
        <f>J35+J36+J37</f>
        <v>7198</v>
      </c>
    </row>
  </sheetData>
  <mergeCells count="2">
    <mergeCell ref="I1:J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115.05</vt:lpstr>
      <vt:lpstr>115.05加班明細</vt:lpstr>
      <vt:lpstr>個人發送樣本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pl2210106</dc:creator>
  <cp:lastModifiedBy>test</cp:lastModifiedBy>
  <dcterms:created xsi:type="dcterms:W3CDTF">2026-06-15T18:39:00Z</dcterms:created>
  <dcterms:modified xsi:type="dcterms:W3CDTF">2026-06-15T10:44:50Z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25BD9A6EC27B8BEAF9652F6A00835DC8_41</vt:lpwstr>
  </property>
  <property fmtid="{D5CDD505-2E9C-101B-9397-08002B2CF9AE}" pid="3" name="KSOProductBuildVer">
    <vt:lpwstr>1033-12.1.22218.22218</vt:lpwstr>
  </property>
</Properties>
</file>